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limpia" sheetId="1" state="visible" r:id="rId1"/>
    <sheet xmlns:r="http://schemas.openxmlformats.org/officeDocument/2006/relationships" name="Proceso" sheetId="2" state="visible" r:id="rId2"/>
    <sheet xmlns:r="http://schemas.openxmlformats.org/officeDocument/2006/relationships" name="Bitácora de cambios" sheetId="3" state="visible" r:id="rId3"/>
    <sheet xmlns:r="http://schemas.openxmlformats.org/officeDocument/2006/relationships" name="Mapeo de filas" sheetId="4" state="visible" r:id="rId4"/>
    <sheet xmlns:r="http://schemas.openxmlformats.org/officeDocument/2006/relationships" name="Versiones" sheetId="5" state="visible" r:id="rId5"/>
    <sheet xmlns:r="http://schemas.openxmlformats.org/officeDocument/2006/relationships" name="Original (sucia)" sheetId="6" state="visible" r:id="rId6"/>
  </sheets>
  <definedNames>
    <definedName name="_xlnm._FilterDatabase" localSheetId="1" hidden="1">'Proceso'!$A$1:$D$10</definedName>
    <definedName name="_xlnm._FilterDatabase" localSheetId="2" hidden="1">'Bitácora de cambios'!$A$1:$G$55</definedName>
    <definedName name="_xlnm._FilterDatabase" localSheetId="3" hidden="1">'Mapeo de filas'!$A$1:$E$21</definedName>
    <definedName name="_xlnm._FilterDatabase" localSheetId="4" hidden="1">'Versiones'!$A$1:$C$5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0">
    <font>
      <name val="Calibri"/>
      <family val="2"/>
      <color theme="1"/>
      <sz val="11"/>
      <scheme val="minor"/>
    </font>
    <font>
      <b val="1"/>
      <color rgb="00FFFFFF"/>
    </font>
    <font>
      <name val="Aptos Narrow"/>
      <family val="2"/>
      <color theme="1"/>
      <sz val="11"/>
      <scheme val="minor"/>
    </font>
    <font>
      <name val="Calibri"/>
      <b val="1"/>
      <color rgb="FF1F497D"/>
      <sz val="16"/>
    </font>
    <font>
      <name val="Calibri"/>
      <i val="1"/>
      <color rgb="FF595959"/>
      <sz val="11"/>
    </font>
    <font>
      <name val="Calibri"/>
      <b val="1"/>
      <color rgb="FFC00000"/>
      <sz val="11"/>
    </font>
    <font>
      <name val="Calibri"/>
      <i val="1"/>
      <color rgb="FF333333"/>
      <sz val="10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3" fontId="2" fillId="3" borderId="0" pivotButton="0" quotePrefix="0" xfId="0"/>
    <xf numFmtId="9" fontId="2" fillId="3" borderId="0" pivotButton="0" quotePrefix="0" xfId="0"/>
    <xf numFmtId="10" fontId="2" fillId="3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5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0" fontId="9" fillId="0" borderId="2" pivotButton="0" quotePrefix="0" xfId="0"/>
    <xf numFmtId="165" fontId="9" fillId="0" borderId="2" pivotButton="0" quotePrefix="0" xfId="0"/>
    <xf numFmtId="10" fontId="9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6" customWidth="1" min="4" max="4"/>
    <col width="16" customWidth="1" min="5" max="5"/>
    <col width="8" customWidth="1" min="6" max="6"/>
    <col width="8" customWidth="1" min="7" max="7"/>
    <col width="12" customWidth="1" min="8" max="8"/>
    <col width="16" customWidth="1" min="9" max="9"/>
    <col width="10" customWidth="1" min="10" max="10"/>
    <col width="14" customWidth="1" min="11" max="11"/>
    <col width="10" customWidth="1" min="12" max="12"/>
  </cols>
  <sheetData>
    <row r="1">
      <c r="A1" t="inlineStr">
        <is>
          <t>ID Crédito</t>
        </is>
      </c>
      <c r="B1" t="inlineStr">
        <is>
          <t>Cliente / Empresa</t>
        </is>
      </c>
      <c r="C1" t="inlineStr">
        <is>
          <t>Sector Industrial</t>
        </is>
      </c>
      <c r="D1" t="inlineStr">
        <is>
          <t>Saldo Deudor Actual ($)</t>
        </is>
      </c>
      <c r="E1" t="inlineStr">
        <is>
          <t>Línea No Utilizada ($)</t>
        </is>
      </c>
      <c r="F1" t="inlineStr">
        <is>
          <t>CCF (%)</t>
        </is>
      </c>
      <c r="G1" t="inlineStr">
        <is>
          <t>PD (%)</t>
        </is>
      </c>
      <c r="H1" t="inlineStr">
        <is>
          <t>Tasa Recuperación (%)</t>
        </is>
      </c>
      <c r="I1" t="inlineStr">
        <is>
          <t>EAD ($) [Fórmula]</t>
        </is>
      </c>
      <c r="J1" t="inlineStr">
        <is>
          <t>LGD (%) [Fórmula]</t>
        </is>
      </c>
      <c r="K1" t="inlineStr">
        <is>
          <t>EL ($) [Fórmula]</t>
        </is>
      </c>
      <c r="L1" t="inlineStr">
        <is>
          <t>EL (%) [Fórmula]</t>
        </is>
      </c>
    </row>
    <row r="2">
      <c r="A2" t="inlineStr">
        <is>
          <t>CR-1001</t>
        </is>
      </c>
      <c r="B2" t="inlineStr">
        <is>
          <t>Industrias Alfa S.A.</t>
        </is>
      </c>
      <c r="C2" t="inlineStr">
        <is>
          <t>Manufactura</t>
        </is>
      </c>
      <c r="D2" s="3" t="n">
        <v>1500000</v>
      </c>
      <c r="E2" s="3" t="n">
        <v>500000</v>
      </c>
      <c r="F2" s="4" t="n">
        <v>0.4</v>
      </c>
      <c r="G2" s="5" t="n">
        <v>0.025</v>
      </c>
      <c r="H2" s="4" t="n">
        <v>0.55</v>
      </c>
      <c r="I2" s="6">
        <f>D2+(E2*F2)</f>
        <v/>
      </c>
      <c r="J2" s="7">
        <f>1-H2</f>
        <v/>
      </c>
      <c r="K2" s="6">
        <f>G2*J2*I2</f>
        <v/>
      </c>
      <c r="L2" s="8">
        <f>K2/I2</f>
        <v/>
      </c>
    </row>
    <row r="3">
      <c r="A3" t="inlineStr">
        <is>
          <t>CR-1002</t>
        </is>
      </c>
      <c r="B3" t="inlineStr">
        <is>
          <t>Comercializadora Beta</t>
        </is>
      </c>
      <c r="C3" t="inlineStr">
        <is>
          <t>Retail</t>
        </is>
      </c>
      <c r="D3" s="3" t="n">
        <v>450000</v>
      </c>
      <c r="E3" s="3" t="n">
        <v>100000</v>
      </c>
      <c r="F3" s="4" t="n">
        <v>0.2</v>
      </c>
      <c r="G3" s="5" t="n">
        <v>0.048</v>
      </c>
      <c r="H3" s="4" t="n">
        <v>0.4</v>
      </c>
      <c r="I3" s="6">
        <f>D3+(E3*F3)</f>
        <v/>
      </c>
      <c r="J3" s="7">
        <f>1-H3</f>
        <v/>
      </c>
      <c r="K3" s="6">
        <f>G3*J3*I3</f>
        <v/>
      </c>
      <c r="L3" s="8">
        <f>K3/I3</f>
        <v/>
      </c>
    </row>
    <row r="4">
      <c r="A4" t="inlineStr">
        <is>
          <t>CR-1003</t>
        </is>
      </c>
      <c r="B4" t="inlineStr">
        <is>
          <t>Logística Gamma SpA</t>
        </is>
      </c>
      <c r="C4" t="inlineStr">
        <is>
          <t>Transporte</t>
        </is>
      </c>
      <c r="D4" s="3" t="n">
        <v>850000</v>
      </c>
      <c r="E4" s="3" t="n">
        <v>200000</v>
      </c>
      <c r="F4" s="4" t="n">
        <v>0.5</v>
      </c>
      <c r="G4" s="5" t="n">
        <v>0.082</v>
      </c>
      <c r="H4" s="4" t="n">
        <v>0.35</v>
      </c>
      <c r="I4" s="6">
        <f>D4+(E4*F4)</f>
        <v/>
      </c>
      <c r="J4" s="7">
        <f>1-H4</f>
        <v/>
      </c>
      <c r="K4" s="6">
        <f>G4*J4*I4</f>
        <v/>
      </c>
      <c r="L4" s="8">
        <f>K4/I4</f>
        <v/>
      </c>
    </row>
    <row r="5">
      <c r="A5" t="inlineStr">
        <is>
          <t>CR-1004</t>
        </is>
      </c>
      <c r="B5" t="inlineStr">
        <is>
          <t>Desarrollos Delta</t>
        </is>
      </c>
      <c r="C5" t="inlineStr">
        <is>
          <t>Inmobiliario</t>
        </is>
      </c>
      <c r="D5" s="3" t="n">
        <v>3200000</v>
      </c>
      <c r="E5" s="3" t="n">
        <v>1000000</v>
      </c>
      <c r="F5" s="4" t="n">
        <v>0.75</v>
      </c>
      <c r="G5" s="5" t="n">
        <v>0.015</v>
      </c>
      <c r="H5" s="4" t="n">
        <v>0.7</v>
      </c>
      <c r="I5" s="6">
        <f>D5+(E5*F5)</f>
        <v/>
      </c>
      <c r="J5" s="7">
        <f>1-H5</f>
        <v/>
      </c>
      <c r="K5" s="6">
        <f>G5*J5*I5</f>
        <v/>
      </c>
      <c r="L5" s="8">
        <f>K5/I5</f>
        <v/>
      </c>
    </row>
    <row r="6">
      <c r="A6" t="inlineStr">
        <is>
          <t>CR-1005</t>
        </is>
      </c>
      <c r="B6" t="inlineStr">
        <is>
          <t>Tecnología Epsilon</t>
        </is>
      </c>
      <c r="C6" t="inlineStr">
        <is>
          <t>Tecnología</t>
        </is>
      </c>
      <c r="D6" s="3" t="n">
        <v>600000</v>
      </c>
      <c r="E6" s="3" t="n">
        <v>300000</v>
      </c>
      <c r="F6" s="4" t="n">
        <v>0.3</v>
      </c>
      <c r="G6" s="5" t="n">
        <v>0.065</v>
      </c>
      <c r="H6" s="4" t="n">
        <v>0.25</v>
      </c>
      <c r="I6" s="6">
        <f>D6+(E6*F6)</f>
        <v/>
      </c>
      <c r="J6" s="7">
        <f>1-H6</f>
        <v/>
      </c>
      <c r="K6" s="6">
        <f>G6*J6*I6</f>
        <v/>
      </c>
      <c r="L6" s="8">
        <f>K6/I6</f>
        <v/>
      </c>
    </row>
    <row r="7">
      <c r="A7" t="inlineStr">
        <is>
          <t>CR-1006</t>
        </is>
      </c>
      <c r="B7" t="inlineStr">
        <is>
          <t>Agropecuaria Zeta</t>
        </is>
      </c>
      <c r="C7" t="inlineStr">
        <is>
          <t>Agroindustria</t>
        </is>
      </c>
      <c r="D7" s="3" t="n">
        <v>1100000</v>
      </c>
      <c r="E7" s="3" t="n">
        <v>150000</v>
      </c>
      <c r="F7" s="4" t="n">
        <v>0.25</v>
      </c>
      <c r="G7" s="5" t="n">
        <v>0.038</v>
      </c>
      <c r="H7" s="4" t="n">
        <v>0.5</v>
      </c>
      <c r="I7" s="6">
        <f>D7+(E7*F7)</f>
        <v/>
      </c>
      <c r="J7" s="7">
        <f>1-H7</f>
        <v/>
      </c>
      <c r="K7" s="6">
        <f>G7*J7*I7</f>
        <v/>
      </c>
      <c r="L7" s="8">
        <f>K7/I7</f>
        <v/>
      </c>
    </row>
    <row r="8">
      <c r="A8" t="inlineStr">
        <is>
          <t>CR-1007</t>
        </is>
      </c>
      <c r="B8" t="inlineStr">
        <is>
          <t>Servicios Eta Ltda.</t>
        </is>
      </c>
      <c r="C8" t="inlineStr">
        <is>
          <t>Servicios</t>
        </is>
      </c>
      <c r="D8" s="3" t="n">
        <v>280000</v>
      </c>
      <c r="E8" s="3" t="n">
        <v>50000</v>
      </c>
      <c r="F8" s="4" t="n">
        <v>0.15</v>
      </c>
      <c r="G8" s="5" t="n">
        <v>0.095</v>
      </c>
      <c r="H8" s="4" t="n">
        <v>0.3</v>
      </c>
      <c r="I8" s="6">
        <f>D8+(E8*F8)</f>
        <v/>
      </c>
      <c r="J8" s="7">
        <f>1-H8</f>
        <v/>
      </c>
      <c r="K8" s="6">
        <f>G8*J8*I8</f>
        <v/>
      </c>
      <c r="L8" s="8">
        <f>K8/I8</f>
        <v/>
      </c>
    </row>
    <row r="9">
      <c r="A9" t="inlineStr">
        <is>
          <t>CR-1008</t>
        </is>
      </c>
      <c r="B9" t="inlineStr">
        <is>
          <t>Alimentos Theta</t>
        </is>
      </c>
      <c r="C9" t="inlineStr">
        <is>
          <t>Manufactura</t>
        </is>
      </c>
      <c r="D9" s="3" t="n">
        <v>950000</v>
      </c>
      <c r="E9" s="3" t="n">
        <v>200000</v>
      </c>
      <c r="F9" s="4" t="n">
        <v>0.4</v>
      </c>
      <c r="G9" s="5" t="n">
        <v>0.018</v>
      </c>
      <c r="H9" s="4" t="n">
        <v>0.65</v>
      </c>
      <c r="I9" s="6">
        <f>D9+(E9*F9)</f>
        <v/>
      </c>
      <c r="J9" s="7">
        <f>1-H9</f>
        <v/>
      </c>
      <c r="K9" s="6">
        <f>G9*J9*I9</f>
        <v/>
      </c>
      <c r="L9" s="8">
        <f>K9/I9</f>
        <v/>
      </c>
    </row>
    <row r="10">
      <c r="A10" t="inlineStr">
        <is>
          <t>CR-1009</t>
        </is>
      </c>
      <c r="B10" t="inlineStr">
        <is>
          <t>Constructora Iota</t>
        </is>
      </c>
      <c r="C10" t="inlineStr">
        <is>
          <t>Construcción</t>
        </is>
      </c>
      <c r="D10" s="3" t="n">
        <v>2400000</v>
      </c>
      <c r="E10" s="3" t="n">
        <v>800000</v>
      </c>
      <c r="F10" s="4" t="n">
        <v>0.6</v>
      </c>
      <c r="G10" s="5" t="n">
        <v>0.11</v>
      </c>
      <c r="H10" s="4" t="n">
        <v>0.45</v>
      </c>
      <c r="I10" s="6">
        <f>D10+(E10*F10)</f>
        <v/>
      </c>
      <c r="J10" s="7">
        <f>1-H10</f>
        <v/>
      </c>
      <c r="K10" s="6">
        <f>G10*J10*I10</f>
        <v/>
      </c>
      <c r="L10" s="8">
        <f>K10/I10</f>
        <v/>
      </c>
    </row>
    <row r="11">
      <c r="A11" t="inlineStr">
        <is>
          <t>CR-1010</t>
        </is>
      </c>
      <c r="B11" t="inlineStr">
        <is>
          <t>Farmacéutica Kappa</t>
        </is>
      </c>
      <c r="C11" t="inlineStr">
        <is>
          <t>Salud</t>
        </is>
      </c>
      <c r="D11" s="3" t="n">
        <v>1800000</v>
      </c>
      <c r="E11" s="3" t="n">
        <v>400000</v>
      </c>
      <c r="F11" s="4" t="n">
        <v>0.3</v>
      </c>
      <c r="G11" s="5" t="n">
        <v>0.008999999999999999</v>
      </c>
      <c r="H11" s="4" t="n">
        <v>0.75</v>
      </c>
      <c r="I11" s="6">
        <f>D11+(E11*F11)</f>
        <v/>
      </c>
      <c r="J11" s="7">
        <f>1-H11</f>
        <v/>
      </c>
      <c r="K11" s="6">
        <f>G11*J11*I11</f>
        <v/>
      </c>
      <c r="L11" s="8">
        <f>K11/I11</f>
        <v/>
      </c>
    </row>
    <row r="12">
      <c r="A12" t="inlineStr">
        <is>
          <t>CR-1011</t>
        </is>
      </c>
      <c r="B12" t="inlineStr">
        <is>
          <t>Textiles Lambda</t>
        </is>
      </c>
      <c r="C12" t="inlineStr">
        <is>
          <t>Retail</t>
        </is>
      </c>
      <c r="D12" s="3" t="n">
        <v>520000</v>
      </c>
      <c r="E12" s="3" t="n">
        <v>120000</v>
      </c>
      <c r="F12" s="4" t="n">
        <v>0.25</v>
      </c>
      <c r="G12" s="5" t="n">
        <v>0.074</v>
      </c>
      <c r="H12" s="4" t="n">
        <v>0.35</v>
      </c>
      <c r="I12" s="6">
        <f>D12+(E12*F12)</f>
        <v/>
      </c>
      <c r="J12" s="7">
        <f>1-H12</f>
        <v/>
      </c>
      <c r="K12" s="6">
        <f>G12*J12*I12</f>
        <v/>
      </c>
      <c r="L12" s="8">
        <f>K12/I12</f>
        <v/>
      </c>
    </row>
    <row r="13">
      <c r="A13" t="inlineStr">
        <is>
          <t>CR-1012</t>
        </is>
      </c>
      <c r="B13" t="inlineStr">
        <is>
          <t>Energías Mu</t>
        </is>
      </c>
      <c r="C13" t="inlineStr">
        <is>
          <t>Energía</t>
        </is>
      </c>
      <c r="D13" s="3" t="n">
        <v>4500000</v>
      </c>
      <c r="E13" s="3" t="n">
        <v>1500000</v>
      </c>
      <c r="F13" s="4" t="n">
        <v>0.8</v>
      </c>
      <c r="G13" s="5" t="n">
        <v>0.012</v>
      </c>
      <c r="H13" s="4" t="n">
        <v>0.8</v>
      </c>
      <c r="I13" s="6">
        <f>D13+(E13*F13)</f>
        <v/>
      </c>
      <c r="J13" s="7">
        <f>1-H13</f>
        <v/>
      </c>
      <c r="K13" s="6">
        <f>G13*J13*I13</f>
        <v/>
      </c>
      <c r="L13" s="8">
        <f>K13/I13</f>
        <v/>
      </c>
    </row>
    <row r="14">
      <c r="A14" t="inlineStr">
        <is>
          <t>CR-1013</t>
        </is>
      </c>
      <c r="B14" t="inlineStr">
        <is>
          <t>Restaurantes Nu</t>
        </is>
      </c>
      <c r="C14" t="inlineStr">
        <is>
          <t>Hostelería</t>
        </is>
      </c>
      <c r="D14" s="3" t="n">
        <v>340000</v>
      </c>
      <c r="E14" s="3" t="n">
        <v>80000</v>
      </c>
      <c r="F14" s="4" t="n">
        <v>0.2</v>
      </c>
      <c r="G14" s="5" t="n">
        <v>0.125</v>
      </c>
      <c r="H14" s="4" t="n">
        <v>0.2</v>
      </c>
      <c r="I14" s="6">
        <f>D14+(E14*F14)</f>
        <v/>
      </c>
      <c r="J14" s="7">
        <f>1-H14</f>
        <v/>
      </c>
      <c r="K14" s="6">
        <f>G14*J14*I14</f>
        <v/>
      </c>
      <c r="L14" s="8">
        <f>K14/I14</f>
        <v/>
      </c>
    </row>
    <row r="15">
      <c r="A15" t="inlineStr">
        <is>
          <t>CR-1014</t>
        </is>
      </c>
      <c r="B15" t="inlineStr">
        <is>
          <t>Metalúrgica Xi</t>
        </is>
      </c>
      <c r="C15" t="inlineStr">
        <is>
          <t>Manufactura</t>
        </is>
      </c>
      <c r="D15" s="3" t="n">
        <v>1300000</v>
      </c>
      <c r="E15" s="3" t="n">
        <v>300000</v>
      </c>
      <c r="F15" s="4" t="n">
        <v>0.5</v>
      </c>
      <c r="G15" s="5" t="n">
        <v>0.032</v>
      </c>
      <c r="H15" s="4" t="n">
        <v>0.5</v>
      </c>
      <c r="I15" s="6">
        <f>D15+(E15*F15)</f>
        <v/>
      </c>
      <c r="J15" s="7">
        <f>1-H15</f>
        <v/>
      </c>
      <c r="K15" s="6">
        <f>G15*J15*I15</f>
        <v/>
      </c>
      <c r="L15" s="8">
        <f>K15/I15</f>
        <v/>
      </c>
    </row>
    <row r="16">
      <c r="A16" t="inlineStr">
        <is>
          <t>CR-1015</t>
        </is>
      </c>
      <c r="B16" t="inlineStr">
        <is>
          <t>Plásticos Omicron</t>
        </is>
      </c>
      <c r="C16" t="inlineStr">
        <is>
          <t>Manufactura</t>
        </is>
      </c>
      <c r="D16" s="3" t="n">
        <v>780000</v>
      </c>
      <c r="E16" s="3" t="n">
        <v>150000</v>
      </c>
      <c r="F16" s="4" t="n">
        <v>0.35</v>
      </c>
      <c r="G16" s="5" t="n">
        <v>0.055</v>
      </c>
      <c r="H16" s="4" t="n">
        <v>0.4</v>
      </c>
      <c r="I16" s="6">
        <f>D16+(E16*F16)</f>
        <v/>
      </c>
      <c r="J16" s="7">
        <f>1-H16</f>
        <v/>
      </c>
      <c r="K16" s="6">
        <f>G16*J16*I16</f>
        <v/>
      </c>
      <c r="L16" s="8">
        <f>K16/I16</f>
        <v/>
      </c>
    </row>
    <row r="17">
      <c r="A17" t="inlineStr">
        <is>
          <t>CR-1016</t>
        </is>
      </c>
      <c r="B17" t="inlineStr">
        <is>
          <t>Automotriz Pi</t>
        </is>
      </c>
      <c r="C17" t="inlineStr">
        <is>
          <t>Automotriz</t>
        </is>
      </c>
      <c r="D17" s="3" t="n">
        <v>2100000</v>
      </c>
      <c r="E17" s="3" t="n">
        <v>500000</v>
      </c>
      <c r="F17" s="4" t="n">
        <v>0.45</v>
      </c>
      <c r="G17" s="5" t="n">
        <v>0.028</v>
      </c>
      <c r="H17" s="4" t="n">
        <v>0.6</v>
      </c>
      <c r="I17" s="6">
        <f>D17+(E17*F17)</f>
        <v/>
      </c>
      <c r="J17" s="7">
        <f>1-H17</f>
        <v/>
      </c>
      <c r="K17" s="6">
        <f>G17*J17*I17</f>
        <v/>
      </c>
      <c r="L17" s="8">
        <f>K17/I17</f>
        <v/>
      </c>
    </row>
    <row r="18">
      <c r="A18" t="inlineStr">
        <is>
          <t>CR-1017</t>
        </is>
      </c>
      <c r="B18" t="inlineStr">
        <is>
          <t>Editorial Rho</t>
        </is>
      </c>
      <c r="C18" t="inlineStr">
        <is>
          <t>Medios</t>
        </is>
      </c>
      <c r="D18" s="3" t="n">
        <v>190000</v>
      </c>
      <c r="E18" s="3" t="n">
        <v>40000</v>
      </c>
      <c r="F18" s="4" t="n">
        <v>0.1</v>
      </c>
      <c r="G18" s="5" t="n">
        <v>0.08799999999999999</v>
      </c>
      <c r="H18" s="4" t="n">
        <v>0.3</v>
      </c>
      <c r="I18" s="6">
        <f>D18+(E18*F18)</f>
        <v/>
      </c>
      <c r="J18" s="7">
        <f>1-H18</f>
        <v/>
      </c>
      <c r="K18" s="6">
        <f>G18*J18*I18</f>
        <v/>
      </c>
      <c r="L18" s="8">
        <f>K18/I18</f>
        <v/>
      </c>
    </row>
    <row r="19">
      <c r="A19" t="inlineStr">
        <is>
          <t>CR-1018</t>
        </is>
      </c>
      <c r="B19" t="inlineStr">
        <is>
          <t>Química Sigma</t>
        </is>
      </c>
      <c r="C19" t="inlineStr">
        <is>
          <t>Químico</t>
        </is>
      </c>
      <c r="D19" s="3" t="n">
        <v>1650000</v>
      </c>
      <c r="E19" s="3" t="n">
        <v>350000</v>
      </c>
      <c r="F19" s="4" t="n">
        <v>0.4</v>
      </c>
      <c r="G19" s="5" t="n">
        <v>0.021</v>
      </c>
      <c r="H19" s="4" t="n">
        <v>0.6</v>
      </c>
      <c r="I19" s="6">
        <f>D19+(E19*F19)</f>
        <v/>
      </c>
      <c r="J19" s="7">
        <f>1-H19</f>
        <v/>
      </c>
      <c r="K19" s="6">
        <f>G19*J19*I19</f>
        <v/>
      </c>
      <c r="L19" s="8">
        <f>K19/I19</f>
        <v/>
      </c>
    </row>
    <row r="20">
      <c r="A20" t="inlineStr">
        <is>
          <t>CR-1019</t>
        </is>
      </c>
      <c r="B20" t="inlineStr">
        <is>
          <t>Telecom Tau</t>
        </is>
      </c>
      <c r="C20" t="inlineStr">
        <is>
          <t>Telecomunicaciones</t>
        </is>
      </c>
      <c r="D20" s="3" t="n">
        <v>2900000</v>
      </c>
      <c r="E20" s="3" t="n">
        <v>600000</v>
      </c>
      <c r="F20" s="4" t="n">
        <v>0.5</v>
      </c>
      <c r="G20" s="5" t="n">
        <v>0.017</v>
      </c>
      <c r="H20" s="4" t="n">
        <v>0.65</v>
      </c>
      <c r="I20" s="6">
        <f>D20+(E20*F20)</f>
        <v/>
      </c>
      <c r="J20" s="7">
        <f>1-H20</f>
        <v/>
      </c>
      <c r="K20" s="6">
        <f>G20*J20*I20</f>
        <v/>
      </c>
      <c r="L20" s="8">
        <f>K20/I20</f>
        <v/>
      </c>
    </row>
    <row r="21">
      <c r="A21" t="inlineStr">
        <is>
          <t>CR-1020</t>
        </is>
      </c>
      <c r="B21" t="inlineStr">
        <is>
          <t>Minera Upsilon</t>
        </is>
      </c>
      <c r="C21" t="inlineStr">
        <is>
          <t>Minería</t>
        </is>
      </c>
      <c r="D21" s="3" t="n">
        <v>5000000</v>
      </c>
      <c r="E21" s="3" t="n">
        <v>2000000</v>
      </c>
      <c r="F21" s="4" t="n">
        <v>0.7</v>
      </c>
      <c r="G21" s="5" t="n">
        <v>0.035</v>
      </c>
      <c r="H21" s="4" t="n">
        <v>0.5</v>
      </c>
      <c r="I21" s="6">
        <f>D21+(E21*F21)</f>
        <v/>
      </c>
      <c r="J21" s="7">
        <f>1-H21</f>
        <v/>
      </c>
      <c r="K21" s="6">
        <f>G21*J21*I21</f>
        <v/>
      </c>
      <c r="L21" s="8">
        <f>K21/I21</f>
        <v/>
      </c>
    </row>
    <row r="22">
      <c r="A22" t="inlineStr">
        <is>
          <t>TOTALES / PROMEDIOS</t>
        </is>
      </c>
      <c r="D22" s="3">
        <f>SUM(D2:D21)</f>
        <v/>
      </c>
      <c r="E22" s="3">
        <f>SUM(E2:E21)</f>
        <v/>
      </c>
      <c r="F22" s="4">
        <f>AVERAGE(F2:F21)</f>
        <v/>
      </c>
      <c r="G22" s="9">
        <f>AVERAGE(G2:G21)</f>
        <v/>
      </c>
      <c r="H22" s="4">
        <f>AVERAGE(H2:H21)</f>
        <v/>
      </c>
      <c r="I22" s="6">
        <f>SUM(I2:I21)</f>
        <v/>
      </c>
      <c r="J22" s="7">
        <f>AVERAGE(J2:J21)</f>
        <v/>
      </c>
      <c r="K22" s="6">
        <f>SUM(K2:K21)</f>
        <v/>
      </c>
      <c r="L22" s="8">
        <f>K22/I22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90" customWidth="1" min="3" max="3"/>
    <col width="22" customWidth="1" min="4" max="4"/>
  </cols>
  <sheetData>
    <row r="1">
      <c r="A1" s="1" t="inlineStr">
        <is>
          <t>Paso</t>
        </is>
      </c>
      <c r="B1" s="1" t="inlineStr">
        <is>
          <t>Etapa</t>
        </is>
      </c>
      <c r="C1" s="1" t="inlineStr">
        <is>
          <t>Descripción</t>
        </is>
      </c>
      <c r="D1" s="1" t="inlineStr">
        <is>
          <t>Dónde se aplicó</t>
        </is>
      </c>
    </row>
    <row r="2">
      <c r="A2" s="2" t="n">
        <v>1</v>
      </c>
      <c r="B2" s="2" t="inlineStr">
        <is>
          <t>Recepción</t>
        </is>
      </c>
      <c r="C2" s="2" t="inlineStr">
        <is>
          <t>Archivo Caso_práctico_LSNE.xlsx (hoja "Ejercicio", 43 filas de datos, filas 9-51, totales en fila 52).</t>
        </is>
      </c>
      <c r="D2" s="2" t="inlineStr">
        <is>
          <t>caso_practico_LSNE.xlsx</t>
        </is>
      </c>
    </row>
    <row r="3">
      <c r="A3" s="2" t="n">
        <v>2</v>
      </c>
      <c r="B3" s="2" t="inlineStr">
        <is>
          <t>Diagnóstico</t>
        </is>
      </c>
      <c r="C3" s="2" t="inlineStr">
        <is>
          <t>43 filas / 20 clientes; 7 filas idénticas; vacíos: ID 5, Sector 6, Línea 2, CCF 1, PD 4, Recuperación 1; 3 textos en Línea; fórmulas faltantes o con texto en EAD/LGD.</t>
        </is>
      </c>
      <c r="D3" s="2" t="inlineStr">
        <is>
          <t>Notebook §2.1</t>
        </is>
      </c>
    </row>
    <row r="4">
      <c r="A4" s="2" t="n">
        <v>3</v>
      </c>
      <c r="B4" s="2" t="inlineStr">
        <is>
          <t>Texto a número</t>
        </is>
      </c>
      <c r="C4" s="2" t="inlineStr">
        <is>
          <t>"cincuenta mil", "doscientos mil", "custroscientos mil" (typo de cuatro) convertidos a 50,000 / 200,000 / 400,000.</t>
        </is>
      </c>
      <c r="D4" s="2" t="inlineStr">
        <is>
          <t>Notebook §2.2</t>
        </is>
      </c>
    </row>
    <row r="5">
      <c r="A5" s="2" t="n">
        <v>4</v>
      </c>
      <c r="B5" s="2" t="inlineStr">
        <is>
          <t>Resolución de conflictos</t>
        </is>
      </c>
      <c r="C5" s="2" t="inlineStr">
        <is>
          <t>Editorial Rho: línea 200,000 (texto) vs 40,000 (numérico). Prevalece el dato numérico (40,000). Pendiente de validar con la fuente.</t>
        </is>
      </c>
      <c r="D5" s="2" t="inlineStr">
        <is>
          <t>Notebook §2.2</t>
        </is>
      </c>
    </row>
    <row r="6">
      <c r="A6" s="2" t="n">
        <v>5</v>
      </c>
      <c r="B6" s="2" t="inlineStr">
        <is>
          <t>Consolidación</t>
        </is>
      </c>
      <c r="C6" s="2" t="inlineStr">
        <is>
          <t>Agrupación por Cliente; en cada columna se toma el primer dato no vacío. Resultado: 20 registros, 0 vacíos.</t>
        </is>
      </c>
      <c r="D6" s="2" t="inlineStr">
        <is>
          <t>Notebook §2.2</t>
        </is>
      </c>
    </row>
    <row r="7">
      <c r="A7" s="2" t="n">
        <v>6</v>
      </c>
      <c r="B7" s="2" t="inlineStr">
        <is>
          <t>Cálculo</t>
        </is>
      </c>
      <c r="C7" s="2" t="inlineStr">
        <is>
          <t>EAD = Saldo + Línea×CCF; LGD = 1 − Recuperación; EL$ = PD×LGD×EAD; EL% = EL$/EAD (fórmulas recalculadas en todas las filas).</t>
        </is>
      </c>
      <c r="D7" s="2" t="inlineStr">
        <is>
          <t>Notebook §2.3</t>
        </is>
      </c>
    </row>
    <row r="8">
      <c r="A8" s="2" t="n">
        <v>7</v>
      </c>
      <c r="B8" s="2" t="inlineStr">
        <is>
          <t>Totales</t>
        </is>
      </c>
      <c r="C8" s="2" t="inlineStr">
        <is>
          <t>Suma de saldo, línea, EAD, EL; promedios de CCF, PD, Recuperación, LGD; EL% = EL total / EAD total. Resultado: EAD $37,812,500; EL $670,962.65; 1.77 %.</t>
        </is>
      </c>
      <c r="D8" s="2" t="inlineStr">
        <is>
          <t>Notebook §2.4</t>
        </is>
      </c>
    </row>
    <row r="9">
      <c r="A9" s="2" t="n">
        <v>8</v>
      </c>
      <c r="B9" s="2" t="inlineStr">
        <is>
          <t>Verificación</t>
        </is>
      </c>
      <c r="C9" s="2" t="inlineStr">
        <is>
          <t>Impacto sin limpiar: EL $1,012,067 (+50.8 %), 10 de 43 filas incalculables. Recálculo independiente de la base final con LibreOffice coincide con pandas.</t>
        </is>
      </c>
      <c r="D9" s="2" t="inlineStr">
        <is>
          <t>Notebook §2.5</t>
        </is>
      </c>
    </row>
    <row r="10">
      <c r="A10" s="2" t="n">
        <v>9</v>
      </c>
      <c r="B10" s="2" t="inlineStr">
        <is>
          <t>Entregables</t>
        </is>
      </c>
      <c r="C10" s="2" t="inlineStr">
        <is>
          <t>Notebook, Excel resuelto (hoja original + "Resuelto"), Excel de base limpia, este archivo de trazabilidad.</t>
        </is>
      </c>
      <c r="D10" s="2" t="inlineStr">
        <is>
          <t>Repositorio Git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16" customWidth="1" min="5" max="5"/>
    <col width="30" customWidth="1" min="6" max="6"/>
    <col width="70" customWidth="1" min="7" max="7"/>
  </cols>
  <sheetData>
    <row r="1">
      <c r="A1" s="1" t="inlineStr">
        <is>
          <t>Fila original</t>
        </is>
      </c>
      <c r="B1" s="1" t="inlineStr">
        <is>
          <t>Cliente</t>
        </is>
      </c>
      <c r="C1" s="1" t="inlineStr">
        <is>
          <t>Campo</t>
        </is>
      </c>
      <c r="D1" s="1" t="inlineStr">
        <is>
          <t>Valor original</t>
        </is>
      </c>
      <c r="E1" s="1" t="inlineStr">
        <is>
          <t>Valor final</t>
        </is>
      </c>
      <c r="F1" s="1" t="inlineStr">
        <is>
          <t>Tipo de cambio</t>
        </is>
      </c>
      <c r="G1" s="1" t="inlineStr">
        <is>
          <t>Justificación</t>
        </is>
      </c>
    </row>
    <row r="2">
      <c r="A2" s="2" t="n">
        <v>12</v>
      </c>
      <c r="B2" s="2" t="inlineStr">
        <is>
          <t>Desarrollos Delta</t>
        </is>
      </c>
      <c r="C2" s="2" t="inlineStr">
        <is>
          <t>Sector Industrial</t>
        </is>
      </c>
      <c r="D2" s="2" t="inlineStr">
        <is>
          <t>(vacío)</t>
        </is>
      </c>
      <c r="E2" s="2" t="inlineStr">
        <is>
          <t>Inmobiliario</t>
        </is>
      </c>
      <c r="F2" s="2" t="inlineStr">
        <is>
          <t>Vacío completado</t>
        </is>
      </c>
      <c r="G2" s="2" t="inlineStr">
        <is>
          <t>Dato tomado de otra copia del mismo cliente</t>
        </is>
      </c>
    </row>
    <row r="3">
      <c r="A3" s="2" t="n">
        <v>13</v>
      </c>
      <c r="B3" s="2" t="inlineStr">
        <is>
          <t>Tecnología Epsilon</t>
        </is>
      </c>
      <c r="C3" s="2" t="inlineStr">
        <is>
          <t>Línea No Utilizada</t>
        </is>
      </c>
      <c r="D3" s="2" t="inlineStr">
        <is>
          <t>(vacío)</t>
        </is>
      </c>
      <c r="E3" s="2" t="n">
        <v>300000</v>
      </c>
      <c r="F3" s="2" t="inlineStr">
        <is>
          <t>Vacío completado</t>
        </is>
      </c>
      <c r="G3" s="2" t="inlineStr">
        <is>
          <t>Dato tomado de otra copia del mismo cliente</t>
        </is>
      </c>
    </row>
    <row r="4">
      <c r="A4" s="2" t="n">
        <v>15</v>
      </c>
      <c r="B4" s="2" t="inlineStr">
        <is>
          <t>Servicios Eta Ltda.</t>
        </is>
      </c>
      <c r="C4" s="2" t="inlineStr">
        <is>
          <t>ID Crédito</t>
        </is>
      </c>
      <c r="D4" s="2" t="inlineStr">
        <is>
          <t>(vacío)</t>
        </is>
      </c>
      <c r="E4" s="2" t="inlineStr">
        <is>
          <t>CR-1007</t>
        </is>
      </c>
      <c r="F4" s="2" t="inlineStr">
        <is>
          <t>Vacío completado</t>
        </is>
      </c>
      <c r="G4" s="2" t="inlineStr">
        <is>
          <t>Dato tomado de otra copia del mismo cliente</t>
        </is>
      </c>
    </row>
    <row r="5">
      <c r="A5" s="2" t="n">
        <v>15</v>
      </c>
      <c r="B5" s="2" t="inlineStr">
        <is>
          <t>Servicios Eta Ltda.</t>
        </is>
      </c>
      <c r="C5" s="2" t="inlineStr">
        <is>
          <t>LGD [Fórmula]</t>
        </is>
      </c>
      <c r="D5" s="2" t="inlineStr">
        <is>
          <t>(vacío)</t>
        </is>
      </c>
      <c r="E5" s="2">
        <f>fórmula</f>
        <v/>
      </c>
      <c r="F5" s="2" t="inlineStr">
        <is>
          <t>Fórmula restaurada</t>
        </is>
      </c>
      <c r="G5" s="2" t="inlineStr">
        <is>
          <t>Celda sin fórmula; se recalcula desde las entradas</t>
        </is>
      </c>
    </row>
    <row r="6">
      <c r="A6" s="2" t="n">
        <v>18</v>
      </c>
      <c r="B6" s="2" t="inlineStr">
        <is>
          <t>Farmacéutica Kappa</t>
        </is>
      </c>
      <c r="C6" s="2" t="inlineStr">
        <is>
          <t>ID Crédito</t>
        </is>
      </c>
      <c r="D6" s="2" t="inlineStr">
        <is>
          <t>(vacío)</t>
        </is>
      </c>
      <c r="E6" s="2" t="inlineStr">
        <is>
          <t>CR-1010</t>
        </is>
      </c>
      <c r="F6" s="2" t="inlineStr">
        <is>
          <t>Vacío completado</t>
        </is>
      </c>
      <c r="G6" s="2" t="inlineStr">
        <is>
          <t>Dato tomado de otra copia del mismo cliente</t>
        </is>
      </c>
    </row>
    <row r="7">
      <c r="A7" s="2" t="n">
        <v>18</v>
      </c>
      <c r="B7" s="2" t="inlineStr">
        <is>
          <t>Farmacéutica Kappa</t>
        </is>
      </c>
      <c r="C7" s="2" t="inlineStr">
        <is>
          <t>Línea No Utilizada</t>
        </is>
      </c>
      <c r="D7" s="2" t="inlineStr">
        <is>
          <t>custroscientos mil</t>
        </is>
      </c>
      <c r="E7" s="2" t="n">
        <v>400000</v>
      </c>
      <c r="F7" s="2" t="inlineStr">
        <is>
          <t>Texto a número</t>
        </is>
      </c>
      <c r="G7" s="2" t="inlineStr">
        <is>
          <t>"custroscientos mil" = 400,000.</t>
        </is>
      </c>
    </row>
    <row r="8">
      <c r="A8" s="2" t="n">
        <v>19</v>
      </c>
      <c r="B8" s="2" t="inlineStr">
        <is>
          <t>Textiles Lambda</t>
        </is>
      </c>
      <c r="C8" s="2" t="inlineStr">
        <is>
          <t>CCF</t>
        </is>
      </c>
      <c r="D8" s="2" t="inlineStr">
        <is>
          <t>(vacío)</t>
        </is>
      </c>
      <c r="E8" s="2" t="n">
        <v>0.25</v>
      </c>
      <c r="F8" s="2" t="inlineStr">
        <is>
          <t>Vacío completado</t>
        </is>
      </c>
      <c r="G8" s="2" t="inlineStr">
        <is>
          <t>Dato tomado de otra copia del mismo cliente</t>
        </is>
      </c>
    </row>
    <row r="9">
      <c r="A9" s="2" t="n">
        <v>21</v>
      </c>
      <c r="B9" s="2" t="inlineStr">
        <is>
          <t>Restaurantes Nu</t>
        </is>
      </c>
      <c r="C9" s="2" t="inlineStr">
        <is>
          <t>EAD [Fórmula]</t>
        </is>
      </c>
      <c r="D9" s="2" t="inlineStr">
        <is>
          <t>(vacío)</t>
        </is>
      </c>
      <c r="E9" s="2">
        <f>fórmula</f>
        <v/>
      </c>
      <c r="F9" s="2" t="inlineStr">
        <is>
          <t>Fórmula restaurada</t>
        </is>
      </c>
      <c r="G9" s="2" t="inlineStr">
        <is>
          <t>Celda sin fórmula; se recalcula desde las entradas</t>
        </is>
      </c>
    </row>
    <row r="10">
      <c r="A10" s="2" t="n">
        <v>24</v>
      </c>
      <c r="B10" s="2" t="inlineStr">
        <is>
          <t>Automotriz Pi</t>
        </is>
      </c>
      <c r="C10" s="2" t="inlineStr">
        <is>
          <t>ID Crédito</t>
        </is>
      </c>
      <c r="D10" s="2" t="inlineStr">
        <is>
          <t>(vacío)</t>
        </is>
      </c>
      <c r="E10" s="2" t="inlineStr">
        <is>
          <t>CR-1016</t>
        </is>
      </c>
      <c r="F10" s="2" t="inlineStr">
        <is>
          <t>Vacío completado</t>
        </is>
      </c>
      <c r="G10" s="2" t="inlineStr">
        <is>
          <t>Dato tomado de otra copia del mismo cliente</t>
        </is>
      </c>
    </row>
    <row r="11">
      <c r="A11" s="2" t="n">
        <v>24</v>
      </c>
      <c r="B11" s="2" t="inlineStr">
        <is>
          <t>Automotriz Pi</t>
        </is>
      </c>
      <c r="C11" s="2" t="inlineStr">
        <is>
          <t>Sector Industrial</t>
        </is>
      </c>
      <c r="D11" s="2" t="inlineStr">
        <is>
          <t>(vacío)</t>
        </is>
      </c>
      <c r="E11" s="2" t="inlineStr">
        <is>
          <t>Automotriz</t>
        </is>
      </c>
      <c r="F11" s="2" t="inlineStr">
        <is>
          <t>Vacío completado</t>
        </is>
      </c>
      <c r="G11" s="2" t="inlineStr">
        <is>
          <t>Dato tomado de otra copia del mismo cliente</t>
        </is>
      </c>
    </row>
    <row r="12">
      <c r="A12" s="2" t="n">
        <v>25</v>
      </c>
      <c r="B12" s="2" t="inlineStr">
        <is>
          <t>Editorial Rho</t>
        </is>
      </c>
      <c r="C12" s="2" t="inlineStr">
        <is>
          <t>LGD [Fórmula]</t>
        </is>
      </c>
      <c r="D12" s="2" t="inlineStr">
        <is>
          <t>(vacío)</t>
        </is>
      </c>
      <c r="E12" s="2">
        <f>fórmula</f>
        <v/>
      </c>
      <c r="F12" s="2" t="inlineStr">
        <is>
          <t>Fórmula restaurada</t>
        </is>
      </c>
      <c r="G12" s="2" t="inlineStr">
        <is>
          <t>Celda sin fórmula; se recalcula desde las entradas</t>
        </is>
      </c>
    </row>
    <row r="13">
      <c r="A13" s="2" t="n">
        <v>25</v>
      </c>
      <c r="B13" s="2" t="inlineStr">
        <is>
          <t>Editorial Rho</t>
        </is>
      </c>
      <c r="C13" s="2" t="inlineStr">
        <is>
          <t>Línea No Utilizada</t>
        </is>
      </c>
      <c r="D13" s="2" t="inlineStr">
        <is>
          <t>doscientos mil</t>
        </is>
      </c>
      <c r="E13" s="2" t="n">
        <v>40000</v>
      </c>
      <c r="F13" s="2" t="inlineStr">
        <is>
          <t>Conflicto: valor textual descartado</t>
        </is>
      </c>
      <c r="G13" s="2" t="inlineStr">
        <is>
          <t>"doscientos mil" = 200,000. Su duplicado trae 40,000; se conserva el dato numérico. VALIDAR con la fuente.</t>
        </is>
      </c>
    </row>
    <row r="14">
      <c r="A14" s="2" t="n">
        <v>27</v>
      </c>
      <c r="B14" s="2" t="inlineStr">
        <is>
          <t>Telecom Tau</t>
        </is>
      </c>
      <c r="C14" s="2" t="inlineStr">
        <is>
          <t>ID Crédito</t>
        </is>
      </c>
      <c r="D14" s="2" t="inlineStr">
        <is>
          <t>(vacío)</t>
        </is>
      </c>
      <c r="E14" s="2" t="inlineStr">
        <is>
          <t>CR-1019</t>
        </is>
      </c>
      <c r="F14" s="2" t="inlineStr">
        <is>
          <t>Vacío completado</t>
        </is>
      </c>
      <c r="G14" s="2" t="inlineStr">
        <is>
          <t>Dato tomado de otra copia del mismo cliente</t>
        </is>
      </c>
    </row>
    <row r="15">
      <c r="A15" s="2" t="n">
        <v>28</v>
      </c>
      <c r="B15" s="2" t="inlineStr">
        <is>
          <t>Minera Upsilon</t>
        </is>
      </c>
      <c r="C15" s="2" t="inlineStr">
        <is>
          <t>EAD [Fórmula]</t>
        </is>
      </c>
      <c r="D15" s="2" t="inlineStr">
        <is>
          <t>seis millones cuatrocientos mil</t>
        </is>
      </c>
      <c r="E15" s="2">
        <f>fórmula</f>
        <v/>
      </c>
      <c r="F15" s="2" t="inlineStr">
        <is>
          <t>Texto reemplazado por fórmula</t>
        </is>
      </c>
      <c r="G15" s="2" t="inlineStr">
        <is>
          <t>Valor escrito con letras; se recalcula</t>
        </is>
      </c>
    </row>
    <row r="16">
      <c r="A16" s="2" t="n">
        <v>28</v>
      </c>
      <c r="B16" s="2" t="inlineStr">
        <is>
          <t>Minera Upsilon</t>
        </is>
      </c>
      <c r="C16" s="2" t="inlineStr">
        <is>
          <t>PD</t>
        </is>
      </c>
      <c r="D16" s="2" t="inlineStr">
        <is>
          <t>(vacío)</t>
        </is>
      </c>
      <c r="E16" s="2" t="n">
        <v>0.035</v>
      </c>
      <c r="F16" s="2" t="inlineStr">
        <is>
          <t>Vacío completado</t>
        </is>
      </c>
      <c r="G16" s="2" t="inlineStr">
        <is>
          <t>Dato tomado de otra copia del mismo cliente</t>
        </is>
      </c>
    </row>
    <row r="17">
      <c r="A17" s="2" t="n">
        <v>29</v>
      </c>
      <c r="B17" s="2" t="inlineStr">
        <is>
          <t>Industrias Alfa S.A.</t>
        </is>
      </c>
      <c r="C17" s="2" t="inlineStr">
        <is>
          <t>(fila completa)</t>
        </is>
      </c>
      <c r="D17" s="2" t="inlineStr">
        <is>
          <t>Fila repetida</t>
        </is>
      </c>
      <c r="E17" s="2" t="inlineStr">
        <is>
          <t>—</t>
        </is>
      </c>
      <c r="F17" s="2" t="inlineStr">
        <is>
          <t>Duplicado consolidado</t>
        </is>
      </c>
      <c r="G17" s="2" t="inlineStr">
        <is>
          <t>Fusionada en el registro de la fila 9 (consolidación por cliente)</t>
        </is>
      </c>
    </row>
    <row r="18">
      <c r="A18" s="2" t="n">
        <v>30</v>
      </c>
      <c r="B18" s="2" t="inlineStr">
        <is>
          <t>Comercializadora Beta</t>
        </is>
      </c>
      <c r="C18" s="2" t="inlineStr">
        <is>
          <t>(fila completa)</t>
        </is>
      </c>
      <c r="D18" s="2" t="inlineStr">
        <is>
          <t>Fila repetida</t>
        </is>
      </c>
      <c r="E18" s="2" t="inlineStr">
        <is>
          <t>—</t>
        </is>
      </c>
      <c r="F18" s="2" t="inlineStr">
        <is>
          <t>Duplicado consolidado</t>
        </is>
      </c>
      <c r="G18" s="2" t="inlineStr">
        <is>
          <t>Fusionada en el registro de la fila 10 (consolidación por cliente)</t>
        </is>
      </c>
    </row>
    <row r="19">
      <c r="A19" s="2" t="n">
        <v>30</v>
      </c>
      <c r="B19" s="2" t="inlineStr">
        <is>
          <t>Comercializadora Beta</t>
        </is>
      </c>
      <c r="C19" s="2" t="inlineStr">
        <is>
          <t>Línea No Utilizada</t>
        </is>
      </c>
      <c r="D19" s="2" t="inlineStr">
        <is>
          <t>(vacío)</t>
        </is>
      </c>
      <c r="E19" s="2" t="n">
        <v>100000</v>
      </c>
      <c r="F19" s="2" t="inlineStr">
        <is>
          <t>Vacío completado</t>
        </is>
      </c>
      <c r="G19" s="2" t="inlineStr">
        <is>
          <t>Dato tomado de otra copia del mismo cliente</t>
        </is>
      </c>
    </row>
    <row r="20">
      <c r="A20" s="2" t="n">
        <v>30</v>
      </c>
      <c r="B20" s="2" t="inlineStr">
        <is>
          <t>Comercializadora Beta</t>
        </is>
      </c>
      <c r="C20" s="2" t="inlineStr">
        <is>
          <t>Sector Industrial</t>
        </is>
      </c>
      <c r="D20" s="2" t="inlineStr">
        <is>
          <t>(vacío)</t>
        </is>
      </c>
      <c r="E20" s="2" t="inlineStr">
        <is>
          <t>Retail</t>
        </is>
      </c>
      <c r="F20" s="2" t="inlineStr">
        <is>
          <t>Vacío completado</t>
        </is>
      </c>
      <c r="G20" s="2" t="inlineStr">
        <is>
          <t>Dato tomado de otra copia del mismo cliente</t>
        </is>
      </c>
    </row>
    <row r="21">
      <c r="A21" s="2" t="n">
        <v>30</v>
      </c>
      <c r="B21" s="2" t="inlineStr">
        <is>
          <t>Comercializadora Beta</t>
        </is>
      </c>
      <c r="C21" s="2" t="inlineStr">
        <is>
          <t>Tasa Recuperación</t>
        </is>
      </c>
      <c r="D21" s="2" t="inlineStr">
        <is>
          <t>(vacío)</t>
        </is>
      </c>
      <c r="E21" s="2" t="n">
        <v>0.4</v>
      </c>
      <c r="F21" s="2" t="inlineStr">
        <is>
          <t>Vacío completado</t>
        </is>
      </c>
      <c r="G21" s="2" t="inlineStr">
        <is>
          <t>Dato tomado de otra copia del mismo cliente</t>
        </is>
      </c>
    </row>
    <row r="22">
      <c r="A22" s="2" t="n">
        <v>31</v>
      </c>
      <c r="B22" s="2" t="inlineStr">
        <is>
          <t>Logística Gamma SpA</t>
        </is>
      </c>
      <c r="C22" s="2" t="inlineStr">
        <is>
          <t>(fila completa)</t>
        </is>
      </c>
      <c r="D22" s="2" t="inlineStr">
        <is>
          <t>Fila repetida</t>
        </is>
      </c>
      <c r="E22" s="2" t="inlineStr">
        <is>
          <t>—</t>
        </is>
      </c>
      <c r="F22" s="2" t="inlineStr">
        <is>
          <t>Duplicado consolidado</t>
        </is>
      </c>
      <c r="G22" s="2" t="inlineStr">
        <is>
          <t>Fusionada en el registro de la fila 11 (consolidación por cliente)</t>
        </is>
      </c>
    </row>
    <row r="23">
      <c r="A23" s="2" t="n">
        <v>32</v>
      </c>
      <c r="B23" s="2" t="inlineStr">
        <is>
          <t>Desarrollos Delta</t>
        </is>
      </c>
      <c r="C23" s="2" t="inlineStr">
        <is>
          <t>(fila completa)</t>
        </is>
      </c>
      <c r="D23" s="2" t="inlineStr">
        <is>
          <t>Fila repetida</t>
        </is>
      </c>
      <c r="E23" s="2" t="inlineStr">
        <is>
          <t>—</t>
        </is>
      </c>
      <c r="F23" s="2" t="inlineStr">
        <is>
          <t>Duplicado consolidado</t>
        </is>
      </c>
      <c r="G23" s="2" t="inlineStr">
        <is>
          <t>Fusionada en el registro de la fila 12 (consolidación por cliente)</t>
        </is>
      </c>
    </row>
    <row r="24">
      <c r="A24" s="2" t="n">
        <v>32</v>
      </c>
      <c r="B24" s="2" t="inlineStr">
        <is>
          <t>Desarrollos Delta</t>
        </is>
      </c>
      <c r="C24" s="2" t="inlineStr">
        <is>
          <t>LGD [Fórmula]</t>
        </is>
      </c>
      <c r="D24" s="2" t="inlineStr">
        <is>
          <t>(vacío)</t>
        </is>
      </c>
      <c r="E24" s="2">
        <f>fórmula</f>
        <v/>
      </c>
      <c r="F24" s="2" t="inlineStr">
        <is>
          <t>Fórmula restaurada</t>
        </is>
      </c>
      <c r="G24" s="2" t="inlineStr">
        <is>
          <t>Celda sin fórmula; se recalcula desde las entradas</t>
        </is>
      </c>
    </row>
    <row r="25">
      <c r="A25" s="2" t="n">
        <v>33</v>
      </c>
      <c r="B25" s="2" t="inlineStr">
        <is>
          <t>Tecnología Epsilon</t>
        </is>
      </c>
      <c r="C25" s="2" t="inlineStr">
        <is>
          <t>(fila completa)</t>
        </is>
      </c>
      <c r="D25" s="2" t="inlineStr">
        <is>
          <t>Fila repetida</t>
        </is>
      </c>
      <c r="E25" s="2" t="inlineStr">
        <is>
          <t>—</t>
        </is>
      </c>
      <c r="F25" s="2" t="inlineStr">
        <is>
          <t>Duplicado consolidado</t>
        </is>
      </c>
      <c r="G25" s="2" t="inlineStr">
        <is>
          <t>Fusionada en el registro de la fila 13 (consolidación por cliente)</t>
        </is>
      </c>
    </row>
    <row r="26">
      <c r="A26" s="2" t="n">
        <v>34</v>
      </c>
      <c r="B26" s="2" t="inlineStr">
        <is>
          <t>Agropecuaria Zeta</t>
        </is>
      </c>
      <c r="C26" s="2" t="inlineStr">
        <is>
          <t>(fila completa)</t>
        </is>
      </c>
      <c r="D26" s="2" t="inlineStr">
        <is>
          <t>Fila repetida</t>
        </is>
      </c>
      <c r="E26" s="2" t="inlineStr">
        <is>
          <t>—</t>
        </is>
      </c>
      <c r="F26" s="2" t="inlineStr">
        <is>
          <t>Duplicado consolidado</t>
        </is>
      </c>
      <c r="G26" s="2" t="inlineStr">
        <is>
          <t>Fusionada en el registro de la fila 14 (consolidación por cliente)</t>
        </is>
      </c>
    </row>
    <row r="27">
      <c r="A27" s="2" t="n">
        <v>34</v>
      </c>
      <c r="B27" s="2" t="inlineStr">
        <is>
          <t>Agropecuaria Zeta</t>
        </is>
      </c>
      <c r="C27" s="2" t="inlineStr">
        <is>
          <t>PD</t>
        </is>
      </c>
      <c r="D27" s="2" t="inlineStr">
        <is>
          <t>(vacío)</t>
        </is>
      </c>
      <c r="E27" s="2" t="n">
        <v>0.038</v>
      </c>
      <c r="F27" s="2" t="inlineStr">
        <is>
          <t>Vacío completado</t>
        </is>
      </c>
      <c r="G27" s="2" t="inlineStr">
        <is>
          <t>Dato tomado de otra copia del mismo cliente</t>
        </is>
      </c>
    </row>
    <row r="28">
      <c r="A28" s="2" t="n">
        <v>35</v>
      </c>
      <c r="B28" s="2" t="inlineStr">
        <is>
          <t>Servicios Eta Ltda.</t>
        </is>
      </c>
      <c r="C28" s="2" t="inlineStr">
        <is>
          <t>(fila completa)</t>
        </is>
      </c>
      <c r="D28" s="2" t="inlineStr">
        <is>
          <t>Fila repetida</t>
        </is>
      </c>
      <c r="E28" s="2" t="inlineStr">
        <is>
          <t>—</t>
        </is>
      </c>
      <c r="F28" s="2" t="inlineStr">
        <is>
          <t>Duplicado consolidado</t>
        </is>
      </c>
      <c r="G28" s="2" t="inlineStr">
        <is>
          <t>Fusionada en el registro de la fila 15 (consolidación por cliente)</t>
        </is>
      </c>
    </row>
    <row r="29">
      <c r="A29" s="2" t="n">
        <v>35</v>
      </c>
      <c r="B29" s="2" t="inlineStr">
        <is>
          <t>Servicios Eta Ltda.</t>
        </is>
      </c>
      <c r="C29" s="2" t="inlineStr">
        <is>
          <t>Línea No Utilizada</t>
        </is>
      </c>
      <c r="D29" s="2" t="inlineStr">
        <is>
          <t>cincuenta mil</t>
        </is>
      </c>
      <c r="E29" s="2" t="n">
        <v>50000</v>
      </c>
      <c r="F29" s="2" t="inlineStr">
        <is>
          <t>Texto a número</t>
        </is>
      </c>
      <c r="G29" s="2" t="inlineStr">
        <is>
          <t>"cincuenta mil" = 50,000.</t>
        </is>
      </c>
    </row>
    <row r="30">
      <c r="A30" s="2" t="n">
        <v>36</v>
      </c>
      <c r="B30" s="2" t="inlineStr">
        <is>
          <t>Alimentos Theta</t>
        </is>
      </c>
      <c r="C30" s="2" t="inlineStr">
        <is>
          <t>(fila completa)</t>
        </is>
      </c>
      <c r="D30" s="2" t="inlineStr">
        <is>
          <t>Fila repetida</t>
        </is>
      </c>
      <c r="E30" s="2" t="inlineStr">
        <is>
          <t>—</t>
        </is>
      </c>
      <c r="F30" s="2" t="inlineStr">
        <is>
          <t>Duplicado consolidado</t>
        </is>
      </c>
      <c r="G30" s="2" t="inlineStr">
        <is>
          <t>Fusionada en el registro de la fila 16 (consolidación por cliente)</t>
        </is>
      </c>
    </row>
    <row r="31">
      <c r="A31" s="2" t="n">
        <v>36</v>
      </c>
      <c r="B31" s="2" t="inlineStr">
        <is>
          <t>Alimentos Theta</t>
        </is>
      </c>
      <c r="C31" s="2" t="inlineStr">
        <is>
          <t>Sector Industrial</t>
        </is>
      </c>
      <c r="D31" s="2" t="inlineStr">
        <is>
          <t>(vacío)</t>
        </is>
      </c>
      <c r="E31" s="2" t="inlineStr">
        <is>
          <t>Manufactura</t>
        </is>
      </c>
      <c r="F31" s="2" t="inlineStr">
        <is>
          <t>Vacío completado</t>
        </is>
      </c>
      <c r="G31" s="2" t="inlineStr">
        <is>
          <t>Dato tomado de otra copia del mismo cliente</t>
        </is>
      </c>
    </row>
    <row r="32">
      <c r="A32" s="2" t="n">
        <v>37</v>
      </c>
      <c r="B32" s="2" t="inlineStr">
        <is>
          <t>Constructora Iota</t>
        </is>
      </c>
      <c r="C32" s="2" t="inlineStr">
        <is>
          <t>(fila completa)</t>
        </is>
      </c>
      <c r="D32" s="2" t="inlineStr">
        <is>
          <t>Fila repetida</t>
        </is>
      </c>
      <c r="E32" s="2" t="inlineStr">
        <is>
          <t>—</t>
        </is>
      </c>
      <c r="F32" s="2" t="inlineStr">
        <is>
          <t>Duplicado consolidado</t>
        </is>
      </c>
      <c r="G32" s="2" t="inlineStr">
        <is>
          <t>Fusionada en el registro de la fila 17 (consolidación por cliente)</t>
        </is>
      </c>
    </row>
    <row r="33">
      <c r="A33" s="2" t="n">
        <v>37</v>
      </c>
      <c r="B33" s="2" t="inlineStr">
        <is>
          <t>Constructora Iota</t>
        </is>
      </c>
      <c r="C33" s="2" t="inlineStr">
        <is>
          <t>EAD [Fórmula]</t>
        </is>
      </c>
      <c r="D33" s="2" t="inlineStr">
        <is>
          <t>(vacío)</t>
        </is>
      </c>
      <c r="E33" s="2">
        <f>fórmula</f>
        <v/>
      </c>
      <c r="F33" s="2" t="inlineStr">
        <is>
          <t>Fórmula restaurada</t>
        </is>
      </c>
      <c r="G33" s="2" t="inlineStr">
        <is>
          <t>Celda sin fórmula; se recalcula desde las entradas</t>
        </is>
      </c>
    </row>
    <row r="34">
      <c r="A34" s="2" t="n">
        <v>37</v>
      </c>
      <c r="B34" s="2" t="inlineStr">
        <is>
          <t>Constructora Iota</t>
        </is>
      </c>
      <c r="C34" s="2" t="inlineStr">
        <is>
          <t>PD</t>
        </is>
      </c>
      <c r="D34" s="2" t="inlineStr">
        <is>
          <t>(vacío)</t>
        </is>
      </c>
      <c r="E34" s="2" t="n">
        <v>0.11</v>
      </c>
      <c r="F34" s="2" t="inlineStr">
        <is>
          <t>Vacío completado</t>
        </is>
      </c>
      <c r="G34" s="2" t="inlineStr">
        <is>
          <t>Dato tomado de otra copia del mismo cliente</t>
        </is>
      </c>
    </row>
    <row r="35">
      <c r="A35" s="2" t="n">
        <v>38</v>
      </c>
      <c r="B35" s="2" t="inlineStr">
        <is>
          <t>Farmacéutica Kappa</t>
        </is>
      </c>
      <c r="C35" s="2" t="inlineStr">
        <is>
          <t>(fila completa)</t>
        </is>
      </c>
      <c r="D35" s="2" t="inlineStr">
        <is>
          <t>Fila repetida</t>
        </is>
      </c>
      <c r="E35" s="2" t="inlineStr">
        <is>
          <t>—</t>
        </is>
      </c>
      <c r="F35" s="2" t="inlineStr">
        <is>
          <t>Duplicado consolidado</t>
        </is>
      </c>
      <c r="G35" s="2" t="inlineStr">
        <is>
          <t>Fusionada en el registro de la fila 18 (consolidación por cliente)</t>
        </is>
      </c>
    </row>
    <row r="36">
      <c r="A36" s="2" t="n">
        <v>39</v>
      </c>
      <c r="B36" s="2" t="inlineStr">
        <is>
          <t>Textiles Lambda</t>
        </is>
      </c>
      <c r="C36" s="2" t="inlineStr">
        <is>
          <t>(fila completa)</t>
        </is>
      </c>
      <c r="D36" s="2" t="inlineStr">
        <is>
          <t>Fila repetida</t>
        </is>
      </c>
      <c r="E36" s="2" t="inlineStr">
        <is>
          <t>—</t>
        </is>
      </c>
      <c r="F36" s="2" t="inlineStr">
        <is>
          <t>Duplicado consolidado</t>
        </is>
      </c>
      <c r="G36" s="2" t="inlineStr">
        <is>
          <t>Fusionada en el registro de la fila 19 (consolidación por cliente)</t>
        </is>
      </c>
    </row>
    <row r="37">
      <c r="A37" s="2" t="n">
        <v>39</v>
      </c>
      <c r="B37" s="2" t="inlineStr">
        <is>
          <t>Textiles Lambda</t>
        </is>
      </c>
      <c r="C37" s="2" t="inlineStr">
        <is>
          <t>ID Crédito</t>
        </is>
      </c>
      <c r="D37" s="2" t="inlineStr">
        <is>
          <t>(vacío)</t>
        </is>
      </c>
      <c r="E37" s="2" t="inlineStr">
        <is>
          <t>CR-1011</t>
        </is>
      </c>
      <c r="F37" s="2" t="inlineStr">
        <is>
          <t>Vacío completado</t>
        </is>
      </c>
      <c r="G37" s="2" t="inlineStr">
        <is>
          <t>Dato tomado de otra copia del mismo cliente</t>
        </is>
      </c>
    </row>
    <row r="38">
      <c r="A38" s="2" t="n">
        <v>40</v>
      </c>
      <c r="B38" s="2" t="inlineStr">
        <is>
          <t>Energías Mu</t>
        </is>
      </c>
      <c r="C38" s="2" t="inlineStr">
        <is>
          <t>(fila completa)</t>
        </is>
      </c>
      <c r="D38" s="2" t="inlineStr">
        <is>
          <t>Fila repetida</t>
        </is>
      </c>
      <c r="E38" s="2" t="inlineStr">
        <is>
          <t>—</t>
        </is>
      </c>
      <c r="F38" s="2" t="inlineStr">
        <is>
          <t>Duplicado consolidado</t>
        </is>
      </c>
      <c r="G38" s="2" t="inlineStr">
        <is>
          <t>Fusionada en el registro de la fila 20 (consolidación por cliente)</t>
        </is>
      </c>
    </row>
    <row r="39">
      <c r="A39" s="2" t="n">
        <v>41</v>
      </c>
      <c r="B39" s="2" t="inlineStr">
        <is>
          <t>Restaurantes Nu</t>
        </is>
      </c>
      <c r="C39" s="2" t="inlineStr">
        <is>
          <t>(fila completa)</t>
        </is>
      </c>
      <c r="D39" s="2" t="inlineStr">
        <is>
          <t>Fila repetida</t>
        </is>
      </c>
      <c r="E39" s="2" t="inlineStr">
        <is>
          <t>—</t>
        </is>
      </c>
      <c r="F39" s="2" t="inlineStr">
        <is>
          <t>Duplicado consolidado</t>
        </is>
      </c>
      <c r="G39" s="2" t="inlineStr">
        <is>
          <t>Fusionada en el registro de la fila 21 (consolidación por cliente)</t>
        </is>
      </c>
    </row>
    <row r="40">
      <c r="A40" s="2" t="n">
        <v>41</v>
      </c>
      <c r="B40" s="2" t="inlineStr">
        <is>
          <t>Restaurantes Nu</t>
        </is>
      </c>
      <c r="C40" s="2" t="inlineStr">
        <is>
          <t>EAD [Fórmula]</t>
        </is>
      </c>
      <c r="D40" s="2" t="inlineStr">
        <is>
          <t>trescientos cincuenta y seis mil</t>
        </is>
      </c>
      <c r="E40" s="2">
        <f>fórmula</f>
        <v/>
      </c>
      <c r="F40" s="2" t="inlineStr">
        <is>
          <t>Texto reemplazado por fórmula</t>
        </is>
      </c>
      <c r="G40" s="2" t="inlineStr">
        <is>
          <t>Valor escrito con letras; se recalcula</t>
        </is>
      </c>
    </row>
    <row r="41">
      <c r="A41" s="2" t="n">
        <v>42</v>
      </c>
      <c r="B41" s="2" t="inlineStr">
        <is>
          <t>Metalúrgica Xi</t>
        </is>
      </c>
      <c r="C41" s="2" t="inlineStr">
        <is>
          <t>(fila completa)</t>
        </is>
      </c>
      <c r="D41" s="2" t="inlineStr">
        <is>
          <t>Fila repetida</t>
        </is>
      </c>
      <c r="E41" s="2" t="inlineStr">
        <is>
          <t>—</t>
        </is>
      </c>
      <c r="F41" s="2" t="inlineStr">
        <is>
          <t>Duplicado consolidado</t>
        </is>
      </c>
      <c r="G41" s="2" t="inlineStr">
        <is>
          <t>Fusionada en el registro de la fila 22 (consolidación por cliente)</t>
        </is>
      </c>
    </row>
    <row r="42">
      <c r="A42" s="2" t="n">
        <v>42</v>
      </c>
      <c r="B42" s="2" t="inlineStr">
        <is>
          <t>Metalúrgica Xi</t>
        </is>
      </c>
      <c r="C42" s="2" t="inlineStr">
        <is>
          <t>Sector Industrial</t>
        </is>
      </c>
      <c r="D42" s="2" t="inlineStr">
        <is>
          <t>(vacío)</t>
        </is>
      </c>
      <c r="E42" s="2" t="inlineStr">
        <is>
          <t>Manufactura</t>
        </is>
      </c>
      <c r="F42" s="2" t="inlineStr">
        <is>
          <t>Vacío completado</t>
        </is>
      </c>
      <c r="G42" s="2" t="inlineStr">
        <is>
          <t>Dato tomado de otra copia del mismo cliente</t>
        </is>
      </c>
    </row>
    <row r="43">
      <c r="A43" s="2" t="n">
        <v>43</v>
      </c>
      <c r="B43" s="2" t="inlineStr">
        <is>
          <t>Plásticos Omicron</t>
        </is>
      </c>
      <c r="C43" s="2" t="inlineStr">
        <is>
          <t>(fila completa)</t>
        </is>
      </c>
      <c r="D43" s="2" t="inlineStr">
        <is>
          <t>Fila repetida</t>
        </is>
      </c>
      <c r="E43" s="2" t="inlineStr">
        <is>
          <t>—</t>
        </is>
      </c>
      <c r="F43" s="2" t="inlineStr">
        <is>
          <t>Duplicado consolidado</t>
        </is>
      </c>
      <c r="G43" s="2" t="inlineStr">
        <is>
          <t>Fusionada en el registro de la fila 23 (consolidación por cliente)</t>
        </is>
      </c>
    </row>
    <row r="44">
      <c r="A44" s="2" t="n">
        <v>43</v>
      </c>
      <c r="B44" s="2" t="inlineStr">
        <is>
          <t>Plásticos Omicron</t>
        </is>
      </c>
      <c r="C44" s="2" t="inlineStr">
        <is>
          <t>EAD [Fórmula]</t>
        </is>
      </c>
      <c r="D44" s="2" t="inlineStr">
        <is>
          <t>(vacío)</t>
        </is>
      </c>
      <c r="E44" s="2">
        <f>fórmula</f>
        <v/>
      </c>
      <c r="F44" s="2" t="inlineStr">
        <is>
          <t>Fórmula restaurada</t>
        </is>
      </c>
      <c r="G44" s="2" t="inlineStr">
        <is>
          <t>Celda sin fórmula; se recalcula desde las entradas</t>
        </is>
      </c>
    </row>
    <row r="45">
      <c r="A45" s="2" t="n">
        <v>44</v>
      </c>
      <c r="B45" s="2" t="inlineStr">
        <is>
          <t>Automotriz Pi</t>
        </is>
      </c>
      <c r="C45" s="2" t="inlineStr">
        <is>
          <t>(fila completa)</t>
        </is>
      </c>
      <c r="D45" s="2" t="inlineStr">
        <is>
          <t>Fila repetida</t>
        </is>
      </c>
      <c r="E45" s="2" t="inlineStr">
        <is>
          <t>—</t>
        </is>
      </c>
      <c r="F45" s="2" t="inlineStr">
        <is>
          <t>Duplicado consolidado</t>
        </is>
      </c>
      <c r="G45" s="2" t="inlineStr">
        <is>
          <t>Fusionada en el registro de la fila 24 (consolidación por cliente)</t>
        </is>
      </c>
    </row>
    <row r="46">
      <c r="A46" s="2" t="n">
        <v>45</v>
      </c>
      <c r="B46" s="2" t="inlineStr">
        <is>
          <t>Editorial Rho</t>
        </is>
      </c>
      <c r="C46" s="2" t="inlineStr">
        <is>
          <t>(fila completa)</t>
        </is>
      </c>
      <c r="D46" s="2" t="inlineStr">
        <is>
          <t>Fila repetida</t>
        </is>
      </c>
      <c r="E46" s="2" t="inlineStr">
        <is>
          <t>—</t>
        </is>
      </c>
      <c r="F46" s="2" t="inlineStr">
        <is>
          <t>Duplicado consolidado</t>
        </is>
      </c>
      <c r="G46" s="2" t="inlineStr">
        <is>
          <t>Fusionada en el registro de la fila 25 (consolidación por cliente)</t>
        </is>
      </c>
    </row>
    <row r="47">
      <c r="A47" s="2" t="n">
        <v>46</v>
      </c>
      <c r="B47" s="2" t="inlineStr">
        <is>
          <t>Química Sigma</t>
        </is>
      </c>
      <c r="C47" s="2" t="inlineStr">
        <is>
          <t>(fila completa)</t>
        </is>
      </c>
      <c r="D47" s="2" t="inlineStr">
        <is>
          <t>Fila repetida</t>
        </is>
      </c>
      <c r="E47" s="2" t="inlineStr">
        <is>
          <t>—</t>
        </is>
      </c>
      <c r="F47" s="2" t="inlineStr">
        <is>
          <t>Duplicado consolidado</t>
        </is>
      </c>
      <c r="G47" s="2" t="inlineStr">
        <is>
          <t>Fusionada en el registro de la fila 26 (consolidación por cliente)</t>
        </is>
      </c>
    </row>
    <row r="48">
      <c r="A48" s="2" t="n">
        <v>46</v>
      </c>
      <c r="B48" s="2" t="inlineStr">
        <is>
          <t>Química Sigma</t>
        </is>
      </c>
      <c r="C48" s="2" t="inlineStr">
        <is>
          <t>PD</t>
        </is>
      </c>
      <c r="D48" s="2" t="inlineStr">
        <is>
          <t>(vacío)</t>
        </is>
      </c>
      <c r="E48" s="2" t="n">
        <v>0.021</v>
      </c>
      <c r="F48" s="2" t="inlineStr">
        <is>
          <t>Vacío completado</t>
        </is>
      </c>
      <c r="G48" s="2" t="inlineStr">
        <is>
          <t>Dato tomado de otra copia del mismo cliente</t>
        </is>
      </c>
    </row>
    <row r="49">
      <c r="A49" s="2" t="n">
        <v>47</v>
      </c>
      <c r="B49" s="2" t="inlineStr">
        <is>
          <t>Telecom Tau</t>
        </is>
      </c>
      <c r="C49" s="2" t="inlineStr">
        <is>
          <t>(fila completa)</t>
        </is>
      </c>
      <c r="D49" s="2" t="inlineStr">
        <is>
          <t>Fila repetida</t>
        </is>
      </c>
      <c r="E49" s="2" t="inlineStr">
        <is>
          <t>—</t>
        </is>
      </c>
      <c r="F49" s="2" t="inlineStr">
        <is>
          <t>Duplicado consolidado</t>
        </is>
      </c>
      <c r="G49" s="2" t="inlineStr">
        <is>
          <t>Fusionada en el registro de la fila 27 (consolidación por cliente)</t>
        </is>
      </c>
    </row>
    <row r="50">
      <c r="A50" s="2" t="n">
        <v>48</v>
      </c>
      <c r="B50" s="2" t="inlineStr">
        <is>
          <t>Minera Upsilon</t>
        </is>
      </c>
      <c r="C50" s="2" t="inlineStr">
        <is>
          <t>(fila completa)</t>
        </is>
      </c>
      <c r="D50" s="2" t="inlineStr">
        <is>
          <t>Fila repetida</t>
        </is>
      </c>
      <c r="E50" s="2" t="inlineStr">
        <is>
          <t>—</t>
        </is>
      </c>
      <c r="F50" s="2" t="inlineStr">
        <is>
          <t>Duplicado consolidado</t>
        </is>
      </c>
      <c r="G50" s="2" t="inlineStr">
        <is>
          <t>Fusionada en el registro de la fila 28 (consolidación por cliente)</t>
        </is>
      </c>
    </row>
    <row r="51">
      <c r="A51" s="2" t="n">
        <v>49</v>
      </c>
      <c r="B51" s="2" t="inlineStr">
        <is>
          <t>Logística Gamma SpA</t>
        </is>
      </c>
      <c r="C51" s="2" t="inlineStr">
        <is>
          <t>(fila completa)</t>
        </is>
      </c>
      <c r="D51" s="2" t="inlineStr">
        <is>
          <t>Fila repetida</t>
        </is>
      </c>
      <c r="E51" s="2" t="inlineStr">
        <is>
          <t>—</t>
        </is>
      </c>
      <c r="F51" s="2" t="inlineStr">
        <is>
          <t>Duplicado consolidado</t>
        </is>
      </c>
      <c r="G51" s="2" t="inlineStr">
        <is>
          <t>Fusionada en el registro de la fila 11 (consolidación por cliente)</t>
        </is>
      </c>
    </row>
    <row r="52">
      <c r="A52" s="2" t="n">
        <v>49</v>
      </c>
      <c r="B52" s="2" t="inlineStr">
        <is>
          <t>Logística Gamma SpA</t>
        </is>
      </c>
      <c r="C52" s="2" t="inlineStr">
        <is>
          <t>Sector Industrial</t>
        </is>
      </c>
      <c r="D52" s="2" t="inlineStr">
        <is>
          <t>(vacío)</t>
        </is>
      </c>
      <c r="E52" s="2" t="inlineStr">
        <is>
          <t>Transporte</t>
        </is>
      </c>
      <c r="F52" s="2" t="inlineStr">
        <is>
          <t>Vacío completado</t>
        </is>
      </c>
      <c r="G52" s="2" t="inlineStr">
        <is>
          <t>Dato tomado de otra copia del mismo cliente</t>
        </is>
      </c>
    </row>
    <row r="53">
      <c r="A53" s="2" t="n">
        <v>50</v>
      </c>
      <c r="B53" s="2" t="inlineStr">
        <is>
          <t>Desarrollos Delta</t>
        </is>
      </c>
      <c r="C53" s="2" t="inlineStr">
        <is>
          <t>(fila completa)</t>
        </is>
      </c>
      <c r="D53" s="2" t="inlineStr">
        <is>
          <t>Fila repetida</t>
        </is>
      </c>
      <c r="E53" s="2" t="inlineStr">
        <is>
          <t>—</t>
        </is>
      </c>
      <c r="F53" s="2" t="inlineStr">
        <is>
          <t>Duplicado consolidado</t>
        </is>
      </c>
      <c r="G53" s="2" t="inlineStr">
        <is>
          <t>Fusionada en el registro de la fila 12 (consolidación por cliente)</t>
        </is>
      </c>
    </row>
    <row r="54">
      <c r="A54" s="2" t="n">
        <v>51</v>
      </c>
      <c r="B54" s="2" t="inlineStr">
        <is>
          <t>Tecnología Epsilon</t>
        </is>
      </c>
      <c r="C54" s="2" t="inlineStr">
        <is>
          <t>(fila completa)</t>
        </is>
      </c>
      <c r="D54" s="2" t="inlineStr">
        <is>
          <t>Fila repetida</t>
        </is>
      </c>
      <c r="E54" s="2" t="inlineStr">
        <is>
          <t>—</t>
        </is>
      </c>
      <c r="F54" s="2" t="inlineStr">
        <is>
          <t>Duplicado consolidado</t>
        </is>
      </c>
      <c r="G54" s="2" t="inlineStr">
        <is>
          <t>Fusionada en el registro de la fila 13 (consolidación por cliente)</t>
        </is>
      </c>
    </row>
    <row r="55">
      <c r="A55" s="2" t="n">
        <v>51</v>
      </c>
      <c r="B55" s="2" t="inlineStr">
        <is>
          <t>Tecnología Epsilon</t>
        </is>
      </c>
      <c r="C55" s="2" t="inlineStr">
        <is>
          <t>EAD [Fórmula]</t>
        </is>
      </c>
      <c r="D55" s="2" t="inlineStr">
        <is>
          <t>(vacío)</t>
        </is>
      </c>
      <c r="E55" s="2">
        <f>fórmula</f>
        <v/>
      </c>
      <c r="F55" s="2" t="inlineStr">
        <is>
          <t>Fórmula restaurada</t>
        </is>
      </c>
      <c r="G55" s="2" t="inlineStr">
        <is>
          <t>Celda sin fórmula; se recalcula desde las entradas</t>
        </is>
      </c>
    </row>
  </sheetData>
  <autoFilter ref="A1:G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10" customWidth="1" min="4" max="4"/>
    <col width="18" customWidth="1" min="5" max="5"/>
  </cols>
  <sheetData>
    <row r="1">
      <c r="A1" s="1" t="inlineStr">
        <is>
          <t>ID final</t>
        </is>
      </c>
      <c r="B1" s="1" t="inlineStr">
        <is>
          <t>Cliente</t>
        </is>
      </c>
      <c r="C1" s="1" t="inlineStr">
        <is>
          <t>Filas en la base original</t>
        </is>
      </c>
      <c r="D1" s="1" t="inlineStr">
        <is>
          <t>N° copias</t>
        </is>
      </c>
      <c r="E1" s="1" t="inlineStr">
        <is>
          <t>Fila en base limpia</t>
        </is>
      </c>
    </row>
    <row r="2">
      <c r="A2" s="2" t="inlineStr">
        <is>
          <t>CR-1001</t>
        </is>
      </c>
      <c r="B2" s="2" t="inlineStr">
        <is>
          <t>Industrias Alfa S.A.</t>
        </is>
      </c>
      <c r="C2" s="2" t="inlineStr">
        <is>
          <t>9, 29</t>
        </is>
      </c>
      <c r="D2" s="2" t="n">
        <v>2</v>
      </c>
      <c r="E2" s="2" t="n">
        <v>2</v>
      </c>
    </row>
    <row r="3">
      <c r="A3" s="2" t="inlineStr">
        <is>
          <t>CR-1002</t>
        </is>
      </c>
      <c r="B3" s="2" t="inlineStr">
        <is>
          <t>Comercializadora Beta</t>
        </is>
      </c>
      <c r="C3" s="2" t="inlineStr">
        <is>
          <t>10, 30</t>
        </is>
      </c>
      <c r="D3" s="2" t="n">
        <v>2</v>
      </c>
      <c r="E3" s="2" t="n">
        <v>3</v>
      </c>
    </row>
    <row r="4">
      <c r="A4" s="2" t="inlineStr">
        <is>
          <t>CR-1003</t>
        </is>
      </c>
      <c r="B4" s="2" t="inlineStr">
        <is>
          <t>Logística Gamma SpA</t>
        </is>
      </c>
      <c r="C4" s="2" t="inlineStr">
        <is>
          <t>11, 31, 49</t>
        </is>
      </c>
      <c r="D4" s="2" t="n">
        <v>3</v>
      </c>
      <c r="E4" s="2" t="n">
        <v>4</v>
      </c>
    </row>
    <row r="5">
      <c r="A5" s="2" t="inlineStr">
        <is>
          <t>CR-1004</t>
        </is>
      </c>
      <c r="B5" s="2" t="inlineStr">
        <is>
          <t>Desarrollos Delta</t>
        </is>
      </c>
      <c r="C5" s="2" t="inlineStr">
        <is>
          <t>12, 32, 50</t>
        </is>
      </c>
      <c r="D5" s="2" t="n">
        <v>3</v>
      </c>
      <c r="E5" s="2" t="n">
        <v>5</v>
      </c>
    </row>
    <row r="6">
      <c r="A6" s="2" t="inlineStr">
        <is>
          <t>CR-1005</t>
        </is>
      </c>
      <c r="B6" s="2" t="inlineStr">
        <is>
          <t>Tecnología Epsilon</t>
        </is>
      </c>
      <c r="C6" s="2" t="inlineStr">
        <is>
          <t>13, 33, 51</t>
        </is>
      </c>
      <c r="D6" s="2" t="n">
        <v>3</v>
      </c>
      <c r="E6" s="2" t="n">
        <v>6</v>
      </c>
    </row>
    <row r="7">
      <c r="A7" s="2" t="inlineStr">
        <is>
          <t>CR-1006</t>
        </is>
      </c>
      <c r="B7" s="2" t="inlineStr">
        <is>
          <t>Agropecuaria Zeta</t>
        </is>
      </c>
      <c r="C7" s="2" t="inlineStr">
        <is>
          <t>14, 34</t>
        </is>
      </c>
      <c r="D7" s="2" t="n">
        <v>2</v>
      </c>
      <c r="E7" s="2" t="n">
        <v>7</v>
      </c>
    </row>
    <row r="8">
      <c r="A8" s="2" t="inlineStr">
        <is>
          <t>CR-1007</t>
        </is>
      </c>
      <c r="B8" s="2" t="inlineStr">
        <is>
          <t>Servicios Eta Ltda.</t>
        </is>
      </c>
      <c r="C8" s="2" t="inlineStr">
        <is>
          <t>15, 35</t>
        </is>
      </c>
      <c r="D8" s="2" t="n">
        <v>2</v>
      </c>
      <c r="E8" s="2" t="n">
        <v>8</v>
      </c>
    </row>
    <row r="9">
      <c r="A9" s="2" t="inlineStr">
        <is>
          <t>CR-1008</t>
        </is>
      </c>
      <c r="B9" s="2" t="inlineStr">
        <is>
          <t>Alimentos Theta</t>
        </is>
      </c>
      <c r="C9" s="2" t="inlineStr">
        <is>
          <t>16, 36</t>
        </is>
      </c>
      <c r="D9" s="2" t="n">
        <v>2</v>
      </c>
      <c r="E9" s="2" t="n">
        <v>9</v>
      </c>
    </row>
    <row r="10">
      <c r="A10" s="2" t="inlineStr">
        <is>
          <t>CR-1009</t>
        </is>
      </c>
      <c r="B10" s="2" t="inlineStr">
        <is>
          <t>Constructora Iota</t>
        </is>
      </c>
      <c r="C10" s="2" t="inlineStr">
        <is>
          <t>17, 37</t>
        </is>
      </c>
      <c r="D10" s="2" t="n">
        <v>2</v>
      </c>
      <c r="E10" s="2" t="n">
        <v>10</v>
      </c>
    </row>
    <row r="11">
      <c r="A11" s="2" t="inlineStr">
        <is>
          <t>CR-1010</t>
        </is>
      </c>
      <c r="B11" s="2" t="inlineStr">
        <is>
          <t>Farmacéutica Kappa</t>
        </is>
      </c>
      <c r="C11" s="2" t="inlineStr">
        <is>
          <t>18, 38</t>
        </is>
      </c>
      <c r="D11" s="2" t="n">
        <v>2</v>
      </c>
      <c r="E11" s="2" t="n">
        <v>11</v>
      </c>
    </row>
    <row r="12">
      <c r="A12" s="2" t="inlineStr">
        <is>
          <t>CR-1011</t>
        </is>
      </c>
      <c r="B12" s="2" t="inlineStr">
        <is>
          <t>Textiles Lambda</t>
        </is>
      </c>
      <c r="C12" s="2" t="inlineStr">
        <is>
          <t>19, 39</t>
        </is>
      </c>
      <c r="D12" s="2" t="n">
        <v>2</v>
      </c>
      <c r="E12" s="2" t="n">
        <v>12</v>
      </c>
    </row>
    <row r="13">
      <c r="A13" s="2" t="inlineStr">
        <is>
          <t>CR-1012</t>
        </is>
      </c>
      <c r="B13" s="2" t="inlineStr">
        <is>
          <t>Energías Mu</t>
        </is>
      </c>
      <c r="C13" s="2" t="inlineStr">
        <is>
          <t>20, 40</t>
        </is>
      </c>
      <c r="D13" s="2" t="n">
        <v>2</v>
      </c>
      <c r="E13" s="2" t="n">
        <v>13</v>
      </c>
    </row>
    <row r="14">
      <c r="A14" s="2" t="inlineStr">
        <is>
          <t>CR-1013</t>
        </is>
      </c>
      <c r="B14" s="2" t="inlineStr">
        <is>
          <t>Restaurantes Nu</t>
        </is>
      </c>
      <c r="C14" s="2" t="inlineStr">
        <is>
          <t>21, 41</t>
        </is>
      </c>
      <c r="D14" s="2" t="n">
        <v>2</v>
      </c>
      <c r="E14" s="2" t="n">
        <v>14</v>
      </c>
    </row>
    <row r="15">
      <c r="A15" s="2" t="inlineStr">
        <is>
          <t>CR-1014</t>
        </is>
      </c>
      <c r="B15" s="2" t="inlineStr">
        <is>
          <t>Metalúrgica Xi</t>
        </is>
      </c>
      <c r="C15" s="2" t="inlineStr">
        <is>
          <t>22, 42</t>
        </is>
      </c>
      <c r="D15" s="2" t="n">
        <v>2</v>
      </c>
      <c r="E15" s="2" t="n">
        <v>15</v>
      </c>
    </row>
    <row r="16">
      <c r="A16" s="2" t="inlineStr">
        <is>
          <t>CR-1015</t>
        </is>
      </c>
      <c r="B16" s="2" t="inlineStr">
        <is>
          <t>Plásticos Omicron</t>
        </is>
      </c>
      <c r="C16" s="2" t="inlineStr">
        <is>
          <t>23, 43</t>
        </is>
      </c>
      <c r="D16" s="2" t="n">
        <v>2</v>
      </c>
      <c r="E16" s="2" t="n">
        <v>16</v>
      </c>
    </row>
    <row r="17">
      <c r="A17" s="2" t="inlineStr">
        <is>
          <t>CR-1016</t>
        </is>
      </c>
      <c r="B17" s="2" t="inlineStr">
        <is>
          <t>Automotriz Pi</t>
        </is>
      </c>
      <c r="C17" s="2" t="inlineStr">
        <is>
          <t>24, 44</t>
        </is>
      </c>
      <c r="D17" s="2" t="n">
        <v>2</v>
      </c>
      <c r="E17" s="2" t="n">
        <v>17</v>
      </c>
    </row>
    <row r="18">
      <c r="A18" s="2" t="inlineStr">
        <is>
          <t>CR-1017</t>
        </is>
      </c>
      <c r="B18" s="2" t="inlineStr">
        <is>
          <t>Editorial Rho</t>
        </is>
      </c>
      <c r="C18" s="2" t="inlineStr">
        <is>
          <t>25, 45</t>
        </is>
      </c>
      <c r="D18" s="2" t="n">
        <v>2</v>
      </c>
      <c r="E18" s="2" t="n">
        <v>18</v>
      </c>
    </row>
    <row r="19">
      <c r="A19" s="2" t="inlineStr">
        <is>
          <t>CR-1018</t>
        </is>
      </c>
      <c r="B19" s="2" t="inlineStr">
        <is>
          <t>Química Sigma</t>
        </is>
      </c>
      <c r="C19" s="2" t="inlineStr">
        <is>
          <t>26, 46</t>
        </is>
      </c>
      <c r="D19" s="2" t="n">
        <v>2</v>
      </c>
      <c r="E19" s="2" t="n">
        <v>19</v>
      </c>
    </row>
    <row r="20">
      <c r="A20" s="2" t="inlineStr">
        <is>
          <t>CR-1019</t>
        </is>
      </c>
      <c r="B20" s="2" t="inlineStr">
        <is>
          <t>Telecom Tau</t>
        </is>
      </c>
      <c r="C20" s="2" t="inlineStr">
        <is>
          <t>27, 47</t>
        </is>
      </c>
      <c r="D20" s="2" t="n">
        <v>2</v>
      </c>
      <c r="E20" s="2" t="n">
        <v>20</v>
      </c>
    </row>
    <row r="21">
      <c r="A21" s="2" t="inlineStr">
        <is>
          <t>CR-1020</t>
        </is>
      </c>
      <c r="B21" s="2" t="inlineStr">
        <is>
          <t>Minera Upsilon</t>
        </is>
      </c>
      <c r="C21" s="2" t="inlineStr">
        <is>
          <t>28, 48</t>
        </is>
      </c>
      <c r="D21" s="2" t="n">
        <v>2</v>
      </c>
      <c r="E21" s="2" t="n">
        <v>21</v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0" customWidth="1" min="3" max="3"/>
  </cols>
  <sheetData>
    <row r="1">
      <c r="A1" s="1" t="inlineStr">
        <is>
          <t>Commit</t>
        </is>
      </c>
      <c r="B1" s="1" t="inlineStr">
        <is>
          <t>Fecha</t>
        </is>
      </c>
      <c r="C1" s="1" t="inlineStr">
        <is>
          <t>Descripción</t>
        </is>
      </c>
    </row>
    <row r="2">
      <c r="A2" s="2" t="inlineStr">
        <is>
          <t>2ecc258</t>
        </is>
      </c>
      <c r="B2" s="2" t="inlineStr">
        <is>
          <t>2026-10-21 00:37</t>
        </is>
      </c>
      <c r="C2" s="2" t="inlineStr">
        <is>
          <t>Agrega base limpia en Excel</t>
        </is>
      </c>
    </row>
    <row r="3">
      <c r="A3" s="2" t="inlineStr">
        <is>
          <t>5a08a23</t>
        </is>
      </c>
      <c r="B3" s="2" t="inlineStr">
        <is>
          <t>2026-10-21 00:35</t>
        </is>
      </c>
      <c r="C3" s="2" t="inlineStr">
        <is>
          <t>Agrega caso práctico de pérdida esperada con limpieza de datos integrada</t>
        </is>
      </c>
    </row>
    <row r="4">
      <c r="A4" s="2" t="inlineStr">
        <is>
          <t>445f8a4</t>
        </is>
      </c>
      <c r="B4" s="2" t="inlineStr">
        <is>
          <t>2026-10-21 00:31</t>
        </is>
      </c>
      <c r="C4" s="2" t="inlineStr">
        <is>
          <t>Agrega actividad de sesgo por repetición y deduplicación de datos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tabSelected="0" workbookViewId="0">
      <selection activeCell="A1" sqref="A1"/>
    </sheetView>
  </sheetViews>
  <sheetFormatPr baseColWidth="8" defaultRowHeight="15"/>
  <sheetData>
    <row r="1" ht="21" customHeight="1">
      <c r="A1" s="10" t="inlineStr">
        <is>
          <t>CASO PRÁCTICO: CÁLCULO DE PÉRDIDA ESPERADA (EXPECTED LOSS - EL)</t>
        </is>
      </c>
    </row>
    <row r="2">
      <c r="A2" s="11" t="inlineStr">
        <is>
          <t>Licenciatura en Inteligencia Financiera de Negocios | Gestión de Riesgo Crediticio</t>
        </is>
      </c>
    </row>
    <row r="3">
      <c r="A3" s="12" t="inlineStr">
        <is>
          <t>Instrucciones para los alumnos:</t>
        </is>
      </c>
    </row>
    <row r="4">
      <c r="A4" s="13" t="inlineStr">
        <is>
          <t>1. Desarrollar las columnas EAD, LGD, EL ($) y EL (%) utilizando las fórmulas financieras correspondientes en las celdas marcadas en verde.</t>
        </is>
      </c>
    </row>
    <row r="5">
      <c r="A5" s="13" t="inlineStr">
        <is>
          <t>2. Fórmulas claves: EAD = Deuda Actual + (Línea No Utilizada * CCF) | LGD = 1 - Tasa de Recuperación | EL ($) = PD * LGD * EAD | EL (%) = EL ($) / EAD.</t>
        </is>
      </c>
    </row>
    <row r="6">
      <c r="A6" s="13" t="inlineStr">
        <is>
          <t>3. Completar la fila de TOTALES / PROMEDIOS en la fila 28 y responder las preguntas del 'Resumen Ejecutivo'.</t>
        </is>
      </c>
    </row>
    <row r="7"/>
    <row r="8" ht="43.2" customHeight="1">
      <c r="A8" s="14" t="inlineStr">
        <is>
          <t>ID Crédito</t>
        </is>
      </c>
      <c r="B8" s="14" t="inlineStr">
        <is>
          <t>Cliente / Empresa</t>
        </is>
      </c>
      <c r="C8" s="14" t="inlineStr">
        <is>
          <t>Sector Industrial</t>
        </is>
      </c>
      <c r="D8" s="14" t="inlineStr">
        <is>
          <t>Saldo Deudor Actual ($)</t>
        </is>
      </c>
      <c r="E8" s="14" t="inlineStr">
        <is>
          <t>Línea No Utilizada ($)</t>
        </is>
      </c>
      <c r="F8" s="14" t="inlineStr">
        <is>
          <t>CCF (%)</t>
        </is>
      </c>
      <c r="G8" s="14" t="inlineStr">
        <is>
          <t>PD (%)</t>
        </is>
      </c>
      <c r="H8" s="14" t="inlineStr">
        <is>
          <t>Tasa Recuperación (%)</t>
        </is>
      </c>
      <c r="I8" s="15" t="inlineStr">
        <is>
          <t>EAD ($) [Fórmula]</t>
        </is>
      </c>
      <c r="J8" s="15" t="inlineStr">
        <is>
          <t>LGD (%) [Fórmula]</t>
        </is>
      </c>
      <c r="K8" s="15" t="inlineStr">
        <is>
          <t>EL ($) [Fórmula]</t>
        </is>
      </c>
      <c r="L8" s="15" t="inlineStr">
        <is>
          <t>EL (%) [Fórmula]</t>
        </is>
      </c>
    </row>
    <row r="9">
      <c r="A9" s="16" t="inlineStr">
        <is>
          <t>CR-1001</t>
        </is>
      </c>
      <c r="B9" s="17" t="inlineStr">
        <is>
          <t>Industrias Alfa S.A.</t>
        </is>
      </c>
      <c r="C9" s="17" t="inlineStr">
        <is>
          <t>Manufactura</t>
        </is>
      </c>
      <c r="D9" s="18" t="n">
        <v>1500000</v>
      </c>
      <c r="E9" s="18" t="n">
        <v>500000</v>
      </c>
      <c r="F9" s="19" t="n">
        <v>0.4</v>
      </c>
      <c r="G9" s="19" t="n">
        <v>0.025</v>
      </c>
      <c r="H9" s="19" t="n">
        <v>0.55</v>
      </c>
      <c r="I9" s="18">
        <f>D9+(E9*F9)</f>
        <v/>
      </c>
      <c r="J9" s="19">
        <f>1-H9</f>
        <v/>
      </c>
      <c r="K9" s="18">
        <f>G9*J9*I9</f>
        <v/>
      </c>
      <c r="L9" s="19">
        <f>K9/I9</f>
        <v/>
      </c>
    </row>
    <row r="10">
      <c r="A10" s="20" t="inlineStr">
        <is>
          <t>CR-1002</t>
        </is>
      </c>
      <c r="B10" s="21" t="inlineStr">
        <is>
          <t>Comercializadora Beta</t>
        </is>
      </c>
      <c r="C10" s="21" t="inlineStr">
        <is>
          <t>Retail</t>
        </is>
      </c>
      <c r="D10" s="22" t="n">
        <v>450000</v>
      </c>
      <c r="E10" s="22" t="n">
        <v>100000</v>
      </c>
      <c r="F10" s="23" t="n">
        <v>0.2</v>
      </c>
      <c r="G10" s="23" t="n">
        <v>0.048</v>
      </c>
      <c r="H10" s="23" t="n">
        <v>0.4</v>
      </c>
      <c r="I10" s="22">
        <f>D10+(E10*F10)</f>
        <v/>
      </c>
      <c r="J10" s="23">
        <f>1-H10</f>
        <v/>
      </c>
      <c r="K10" s="22">
        <f>G10*J10*I10</f>
        <v/>
      </c>
      <c r="L10" s="23">
        <f>K10/I10</f>
        <v/>
      </c>
    </row>
    <row r="11">
      <c r="A11" s="16" t="inlineStr">
        <is>
          <t>CR-1003</t>
        </is>
      </c>
      <c r="B11" s="17" t="inlineStr">
        <is>
          <t>Logística Gamma SpA</t>
        </is>
      </c>
      <c r="C11" s="17" t="inlineStr">
        <is>
          <t>Transporte</t>
        </is>
      </c>
      <c r="D11" s="18" t="n">
        <v>850000</v>
      </c>
      <c r="E11" s="18" t="n">
        <v>200000</v>
      </c>
      <c r="F11" s="19" t="n">
        <v>0.5</v>
      </c>
      <c r="G11" s="19" t="n">
        <v>0.082</v>
      </c>
      <c r="H11" s="19" t="n">
        <v>0.35</v>
      </c>
      <c r="I11" s="18">
        <f>D11+(E11*F11)</f>
        <v/>
      </c>
      <c r="J11" s="19">
        <f>1-H11</f>
        <v/>
      </c>
      <c r="K11" s="18">
        <f>G11*J11*I11</f>
        <v/>
      </c>
      <c r="L11" s="19">
        <f>K11/I11</f>
        <v/>
      </c>
    </row>
    <row r="12">
      <c r="A12" s="20" t="inlineStr">
        <is>
          <t>CR-1004</t>
        </is>
      </c>
      <c r="B12" s="21" t="inlineStr">
        <is>
          <t>Desarrollos Delta</t>
        </is>
      </c>
      <c r="C12" s="21" t="n"/>
      <c r="D12" s="22" t="n">
        <v>3200000</v>
      </c>
      <c r="E12" s="22" t="n">
        <v>1000000</v>
      </c>
      <c r="F12" s="23" t="n">
        <v>0.75</v>
      </c>
      <c r="G12" s="23" t="n">
        <v>0.015</v>
      </c>
      <c r="H12" s="23" t="n">
        <v>0.7</v>
      </c>
      <c r="I12" s="22">
        <f>D12+(E12*F12)</f>
        <v/>
      </c>
      <c r="J12" s="23">
        <f>1-H12</f>
        <v/>
      </c>
      <c r="K12" s="22">
        <f>G12*J12*I12</f>
        <v/>
      </c>
      <c r="L12" s="23">
        <f>K12/I12</f>
        <v/>
      </c>
    </row>
    <row r="13">
      <c r="A13" s="16" t="inlineStr">
        <is>
          <t>CR-1005</t>
        </is>
      </c>
      <c r="B13" s="17" t="inlineStr">
        <is>
          <t>Tecnología Epsilon</t>
        </is>
      </c>
      <c r="C13" s="17" t="inlineStr">
        <is>
          <t>Tecnología</t>
        </is>
      </c>
      <c r="D13" s="18" t="n">
        <v>600000</v>
      </c>
      <c r="E13" s="18" t="n"/>
      <c r="F13" s="19" t="n">
        <v>0.3</v>
      </c>
      <c r="G13" s="19" t="n">
        <v>0.065</v>
      </c>
      <c r="H13" s="19" t="n">
        <v>0.25</v>
      </c>
      <c r="I13" s="18">
        <f>D13+(E13*F13)</f>
        <v/>
      </c>
      <c r="J13" s="19">
        <f>1-H13</f>
        <v/>
      </c>
      <c r="K13" s="18">
        <f>G13*J13*I13</f>
        <v/>
      </c>
      <c r="L13" s="19">
        <f>K13/I13</f>
        <v/>
      </c>
    </row>
    <row r="14">
      <c r="A14" s="20" t="inlineStr">
        <is>
          <t>CR-1006</t>
        </is>
      </c>
      <c r="B14" s="21" t="inlineStr">
        <is>
          <t>Agropecuaria Zeta</t>
        </is>
      </c>
      <c r="C14" s="21" t="inlineStr">
        <is>
          <t>Agroindustria</t>
        </is>
      </c>
      <c r="D14" s="22" t="n">
        <v>1100000</v>
      </c>
      <c r="E14" s="22" t="n">
        <v>150000</v>
      </c>
      <c r="F14" s="23" t="n">
        <v>0.25</v>
      </c>
      <c r="G14" s="23" t="n">
        <v>0.038</v>
      </c>
      <c r="H14" s="23" t="n">
        <v>0.5</v>
      </c>
      <c r="I14" s="22">
        <f>D14+(E14*F14)</f>
        <v/>
      </c>
      <c r="J14" s="23">
        <f>1-H14</f>
        <v/>
      </c>
      <c r="K14" s="22">
        <f>G14*J14*I14</f>
        <v/>
      </c>
      <c r="L14" s="23">
        <f>K14/I14</f>
        <v/>
      </c>
    </row>
    <row r="15">
      <c r="A15" s="16" t="n"/>
      <c r="B15" s="17" t="inlineStr">
        <is>
          <t>Servicios Eta Ltda.</t>
        </is>
      </c>
      <c r="C15" s="17" t="inlineStr">
        <is>
          <t>Servicios</t>
        </is>
      </c>
      <c r="D15" s="18" t="n">
        <v>280000</v>
      </c>
      <c r="E15" s="18" t="n">
        <v>50000</v>
      </c>
      <c r="F15" s="19" t="n">
        <v>0.15</v>
      </c>
      <c r="G15" s="19" t="n">
        <v>0.095</v>
      </c>
      <c r="H15" s="19" t="n">
        <v>0.3</v>
      </c>
      <c r="I15" s="18">
        <f>D15+(E15*F15)</f>
        <v/>
      </c>
      <c r="J15" s="19" t="n"/>
      <c r="K15" s="18">
        <f>G15*J15*I15</f>
        <v/>
      </c>
      <c r="L15" s="19">
        <f>K15/I15</f>
        <v/>
      </c>
    </row>
    <row r="16">
      <c r="A16" s="20" t="inlineStr">
        <is>
          <t>CR-1008</t>
        </is>
      </c>
      <c r="B16" s="21" t="inlineStr">
        <is>
          <t>Alimentos Theta</t>
        </is>
      </c>
      <c r="C16" s="21" t="inlineStr">
        <is>
          <t>Manufactura</t>
        </is>
      </c>
      <c r="D16" s="22" t="n">
        <v>950000</v>
      </c>
      <c r="E16" s="22" t="n">
        <v>200000</v>
      </c>
      <c r="F16" s="23" t="n">
        <v>0.4</v>
      </c>
      <c r="G16" s="23" t="n">
        <v>0.018</v>
      </c>
      <c r="H16" s="23" t="n">
        <v>0.65</v>
      </c>
      <c r="I16" s="22">
        <f>D16+(E16*F16)</f>
        <v/>
      </c>
      <c r="J16" s="23">
        <f>1-H16</f>
        <v/>
      </c>
      <c r="K16" s="22">
        <f>G16*J16*I16</f>
        <v/>
      </c>
      <c r="L16" s="23">
        <f>K16/I16</f>
        <v/>
      </c>
    </row>
    <row r="17">
      <c r="A17" s="16" t="inlineStr">
        <is>
          <t>CR-1009</t>
        </is>
      </c>
      <c r="B17" s="17" t="inlineStr">
        <is>
          <t>Constructora Iota</t>
        </is>
      </c>
      <c r="C17" s="17" t="inlineStr">
        <is>
          <t>Construcción</t>
        </is>
      </c>
      <c r="D17" s="18" t="n">
        <v>2400000</v>
      </c>
      <c r="E17" s="18" t="n">
        <v>800000</v>
      </c>
      <c r="F17" s="19" t="n">
        <v>0.6</v>
      </c>
      <c r="G17" s="19" t="n">
        <v>0.11</v>
      </c>
      <c r="H17" s="19" t="n">
        <v>0.45</v>
      </c>
      <c r="I17" s="18">
        <f>D17+(E17*F17)</f>
        <v/>
      </c>
      <c r="J17" s="19">
        <f>1-H17</f>
        <v/>
      </c>
      <c r="K17" s="18">
        <f>G17*J17*I17</f>
        <v/>
      </c>
      <c r="L17" s="19">
        <f>K17/I17</f>
        <v/>
      </c>
    </row>
    <row r="18">
      <c r="A18" s="20" t="n"/>
      <c r="B18" s="21" t="inlineStr">
        <is>
          <t>Farmacéutica Kappa</t>
        </is>
      </c>
      <c r="C18" s="21" t="inlineStr">
        <is>
          <t>Salud</t>
        </is>
      </c>
      <c r="D18" s="22" t="n">
        <v>1800000</v>
      </c>
      <c r="E18" s="22" t="inlineStr">
        <is>
          <t>custroscientos mil</t>
        </is>
      </c>
      <c r="F18" s="23" t="n">
        <v>0.3</v>
      </c>
      <c r="G18" s="23" t="n">
        <v>0.008999999999999999</v>
      </c>
      <c r="H18" s="23" t="n">
        <v>0.75</v>
      </c>
      <c r="I18" s="22">
        <f>D18+(E18*F18)</f>
        <v/>
      </c>
      <c r="J18" s="23">
        <f>1-H18</f>
        <v/>
      </c>
      <c r="K18" s="22">
        <f>G18*J18*I18</f>
        <v/>
      </c>
      <c r="L18" s="23">
        <f>K18/I18</f>
        <v/>
      </c>
    </row>
    <row r="19">
      <c r="A19" s="16" t="inlineStr">
        <is>
          <t>CR-1011</t>
        </is>
      </c>
      <c r="B19" s="17" t="inlineStr">
        <is>
          <t>Textiles Lambda</t>
        </is>
      </c>
      <c r="C19" s="17" t="inlineStr">
        <is>
          <t>Retail</t>
        </is>
      </c>
      <c r="D19" s="18" t="n">
        <v>520000</v>
      </c>
      <c r="E19" s="18" t="n">
        <v>120000</v>
      </c>
      <c r="F19" s="19" t="n"/>
      <c r="G19" s="19" t="n">
        <v>0.074</v>
      </c>
      <c r="H19" s="19" t="n">
        <v>0.35</v>
      </c>
      <c r="I19" s="18">
        <f>D19+(E19*F19)</f>
        <v/>
      </c>
      <c r="J19" s="19">
        <f>1-H19</f>
        <v/>
      </c>
      <c r="K19" s="18">
        <f>G19*J19*I19</f>
        <v/>
      </c>
      <c r="L19" s="19">
        <f>K19/I19</f>
        <v/>
      </c>
    </row>
    <row r="20">
      <c r="A20" s="20" t="inlineStr">
        <is>
          <t>CR-1012</t>
        </is>
      </c>
      <c r="B20" s="21" t="inlineStr">
        <is>
          <t>Energías Mu</t>
        </is>
      </c>
      <c r="C20" s="21" t="inlineStr">
        <is>
          <t>Energía</t>
        </is>
      </c>
      <c r="D20" s="22" t="n">
        <v>4500000</v>
      </c>
      <c r="E20" s="22" t="n">
        <v>1500000</v>
      </c>
      <c r="F20" s="23" t="n">
        <v>0.8</v>
      </c>
      <c r="G20" s="23" t="n">
        <v>0.012</v>
      </c>
      <c r="H20" s="23" t="n">
        <v>0.8</v>
      </c>
      <c r="I20" s="22">
        <f>D20+(E20*F20)</f>
        <v/>
      </c>
      <c r="J20" s="23">
        <f>1-H20</f>
        <v/>
      </c>
      <c r="K20" s="22">
        <f>G20*J20*I20</f>
        <v/>
      </c>
      <c r="L20" s="23">
        <f>K20/I20</f>
        <v/>
      </c>
    </row>
    <row r="21">
      <c r="A21" s="16" t="inlineStr">
        <is>
          <t>CR-1013</t>
        </is>
      </c>
      <c r="B21" s="17" t="inlineStr">
        <is>
          <t>Restaurantes Nu</t>
        </is>
      </c>
      <c r="C21" s="17" t="inlineStr">
        <is>
          <t>Hostelería</t>
        </is>
      </c>
      <c r="D21" s="18" t="n">
        <v>340000</v>
      </c>
      <c r="E21" s="18" t="n">
        <v>80000</v>
      </c>
      <c r="F21" s="19" t="n">
        <v>0.2</v>
      </c>
      <c r="G21" s="19" t="n">
        <v>0.125</v>
      </c>
      <c r="H21" s="19" t="n">
        <v>0.2</v>
      </c>
      <c r="I21" s="18" t="n"/>
      <c r="J21" s="19">
        <f>1-H21</f>
        <v/>
      </c>
      <c r="K21" s="18">
        <f>G21*J21*I21</f>
        <v/>
      </c>
      <c r="L21" s="19">
        <f>K21/I21</f>
        <v/>
      </c>
    </row>
    <row r="22">
      <c r="A22" s="20" t="inlineStr">
        <is>
          <t>CR-1014</t>
        </is>
      </c>
      <c r="B22" s="21" t="inlineStr">
        <is>
          <t>Metalúrgica Xi</t>
        </is>
      </c>
      <c r="C22" s="21" t="inlineStr">
        <is>
          <t>Manufactura</t>
        </is>
      </c>
      <c r="D22" s="22" t="n">
        <v>1300000</v>
      </c>
      <c r="E22" s="22" t="n">
        <v>300000</v>
      </c>
      <c r="F22" s="23" t="n">
        <v>0.5</v>
      </c>
      <c r="G22" s="23" t="n">
        <v>0.032</v>
      </c>
      <c r="H22" s="23" t="n">
        <v>0.5</v>
      </c>
      <c r="I22" s="22">
        <f>D22+(E22*F22)</f>
        <v/>
      </c>
      <c r="J22" s="23">
        <f>1-H22</f>
        <v/>
      </c>
      <c r="K22" s="22">
        <f>G22*J22*I22</f>
        <v/>
      </c>
      <c r="L22" s="23">
        <f>K22/I22</f>
        <v/>
      </c>
    </row>
    <row r="23">
      <c r="A23" s="16" t="inlineStr">
        <is>
          <t>CR-1015</t>
        </is>
      </c>
      <c r="B23" s="17" t="inlineStr">
        <is>
          <t>Plásticos Omicron</t>
        </is>
      </c>
      <c r="C23" s="17" t="inlineStr">
        <is>
          <t>Manufactura</t>
        </is>
      </c>
      <c r="D23" s="18" t="n">
        <v>780000</v>
      </c>
      <c r="E23" s="18" t="n">
        <v>150000</v>
      </c>
      <c r="F23" s="19" t="n">
        <v>0.35</v>
      </c>
      <c r="G23" s="19" t="n">
        <v>0.055</v>
      </c>
      <c r="H23" s="19" t="n">
        <v>0.4</v>
      </c>
      <c r="I23" s="18">
        <f>D23+(E23*F23)</f>
        <v/>
      </c>
      <c r="J23" s="19">
        <f>1-H23</f>
        <v/>
      </c>
      <c r="K23" s="18">
        <f>G23*J23*I23</f>
        <v/>
      </c>
      <c r="L23" s="19">
        <f>K23/I23</f>
        <v/>
      </c>
    </row>
    <row r="24">
      <c r="A24" s="20" t="n"/>
      <c r="B24" s="21" t="inlineStr">
        <is>
          <t>Automotriz Pi</t>
        </is>
      </c>
      <c r="C24" s="21" t="n"/>
      <c r="D24" s="22" t="n">
        <v>2100000</v>
      </c>
      <c r="E24" s="22" t="n">
        <v>500000</v>
      </c>
      <c r="F24" s="23" t="n">
        <v>0.45</v>
      </c>
      <c r="G24" s="23" t="n">
        <v>0.028</v>
      </c>
      <c r="H24" s="23" t="n">
        <v>0.6</v>
      </c>
      <c r="I24" s="22">
        <f>D24+(E24*F24)</f>
        <v/>
      </c>
      <c r="J24" s="23">
        <f>1-H24</f>
        <v/>
      </c>
      <c r="K24" s="22">
        <f>G24*J24*I24</f>
        <v/>
      </c>
      <c r="L24" s="23">
        <f>K24/I24</f>
        <v/>
      </c>
    </row>
    <row r="25">
      <c r="A25" s="16" t="inlineStr">
        <is>
          <t>CR-1017</t>
        </is>
      </c>
      <c r="B25" s="17" t="inlineStr">
        <is>
          <t>Editorial Rho</t>
        </is>
      </c>
      <c r="C25" s="17" t="inlineStr">
        <is>
          <t>Medios</t>
        </is>
      </c>
      <c r="D25" s="18" t="n">
        <v>190000</v>
      </c>
      <c r="E25" s="18" t="inlineStr">
        <is>
          <t>doscientos mil</t>
        </is>
      </c>
      <c r="F25" s="19" t="n">
        <v>0.1</v>
      </c>
      <c r="G25" s="19" t="n">
        <v>0.08799999999999999</v>
      </c>
      <c r="H25" s="19" t="n">
        <v>0.3</v>
      </c>
      <c r="I25" s="18">
        <f>D25+(E25*F25)</f>
        <v/>
      </c>
      <c r="J25" s="19" t="n"/>
      <c r="K25" s="18">
        <f>G25*J25*I25</f>
        <v/>
      </c>
      <c r="L25" s="19">
        <f>K25/I25</f>
        <v/>
      </c>
    </row>
    <row r="26">
      <c r="A26" s="20" t="inlineStr">
        <is>
          <t>CR-1018</t>
        </is>
      </c>
      <c r="B26" s="21" t="inlineStr">
        <is>
          <t>Química Sigma</t>
        </is>
      </c>
      <c r="C26" s="21" t="inlineStr">
        <is>
          <t>Químico</t>
        </is>
      </c>
      <c r="D26" s="22" t="n">
        <v>1650000</v>
      </c>
      <c r="E26" s="22" t="n">
        <v>350000</v>
      </c>
      <c r="F26" s="23" t="n">
        <v>0.4</v>
      </c>
      <c r="G26" s="23" t="n">
        <v>0.021</v>
      </c>
      <c r="H26" s="23" t="n">
        <v>0.6</v>
      </c>
      <c r="I26" s="22">
        <f>D26+(E26*F26)</f>
        <v/>
      </c>
      <c r="J26" s="23">
        <f>1-H26</f>
        <v/>
      </c>
      <c r="K26" s="22">
        <f>G26*J26*I26</f>
        <v/>
      </c>
      <c r="L26" s="23">
        <f>K26/I26</f>
        <v/>
      </c>
    </row>
    <row r="27">
      <c r="A27" s="16" t="n"/>
      <c r="B27" s="17" t="inlineStr">
        <is>
          <t>Telecom Tau</t>
        </is>
      </c>
      <c r="C27" s="17" t="inlineStr">
        <is>
          <t>Telecomunicaciones</t>
        </is>
      </c>
      <c r="D27" s="18" t="n">
        <v>2900000</v>
      </c>
      <c r="E27" s="18" t="n">
        <v>600000</v>
      </c>
      <c r="F27" s="19" t="n">
        <v>0.5</v>
      </c>
      <c r="G27" s="19" t="n">
        <v>0.017</v>
      </c>
      <c r="H27" s="19" t="n">
        <v>0.65</v>
      </c>
      <c r="I27" s="18">
        <f>D27+(E27*F27)</f>
        <v/>
      </c>
      <c r="J27" s="19">
        <f>1-H27</f>
        <v/>
      </c>
      <c r="K27" s="18">
        <f>G27*J27*I27</f>
        <v/>
      </c>
      <c r="L27" s="19">
        <f>K27/I27</f>
        <v/>
      </c>
    </row>
    <row r="28">
      <c r="A28" s="20" t="inlineStr">
        <is>
          <t>CR-1020</t>
        </is>
      </c>
      <c r="B28" s="21" t="inlineStr">
        <is>
          <t>Minera Upsilon</t>
        </is>
      </c>
      <c r="C28" s="21" t="inlineStr">
        <is>
          <t>Minería</t>
        </is>
      </c>
      <c r="D28" s="22" t="n">
        <v>5000000</v>
      </c>
      <c r="E28" s="22" t="n">
        <v>2000000</v>
      </c>
      <c r="F28" s="23" t="n">
        <v>0.7</v>
      </c>
      <c r="G28" s="23" t="n"/>
      <c r="H28" s="23" t="n">
        <v>0.5</v>
      </c>
      <c r="I28" s="22" t="inlineStr">
        <is>
          <t>seis millones cuatrocientos mil</t>
        </is>
      </c>
      <c r="J28" s="23">
        <f>1-H28</f>
        <v/>
      </c>
      <c r="K28" s="22">
        <f>G28*J28*I28</f>
        <v/>
      </c>
      <c r="L28" s="23">
        <f>K28/I28</f>
        <v/>
      </c>
    </row>
    <row r="29">
      <c r="A29" s="16" t="inlineStr">
        <is>
          <t>CR-1001</t>
        </is>
      </c>
      <c r="B29" s="17" t="inlineStr">
        <is>
          <t>Industrias Alfa S.A.</t>
        </is>
      </c>
      <c r="C29" s="17" t="inlineStr">
        <is>
          <t>Manufactura</t>
        </is>
      </c>
      <c r="D29" s="18" t="n">
        <v>1500000</v>
      </c>
      <c r="E29" s="18" t="n">
        <v>500000</v>
      </c>
      <c r="F29" s="19" t="n">
        <v>0.4</v>
      </c>
      <c r="G29" s="19" t="n">
        <v>0.025</v>
      </c>
      <c r="H29" s="19" t="n">
        <v>0.55</v>
      </c>
      <c r="I29" s="18">
        <f>D29+(E29*F29)</f>
        <v/>
      </c>
      <c r="J29" s="19">
        <f>1-H29</f>
        <v/>
      </c>
      <c r="K29" s="18">
        <f>G29*J29*I29</f>
        <v/>
      </c>
      <c r="L29" s="19">
        <f>K29/I29</f>
        <v/>
      </c>
    </row>
    <row r="30">
      <c r="A30" s="20" t="inlineStr">
        <is>
          <t>CR-1002</t>
        </is>
      </c>
      <c r="B30" s="21" t="inlineStr">
        <is>
          <t>Comercializadora Beta</t>
        </is>
      </c>
      <c r="C30" s="21" t="n"/>
      <c r="D30" s="22" t="n">
        <v>450000</v>
      </c>
      <c r="E30" s="22" t="n"/>
      <c r="F30" s="23" t="n">
        <v>0.2</v>
      </c>
      <c r="G30" s="23" t="n">
        <v>0.048</v>
      </c>
      <c r="H30" s="23" t="n"/>
      <c r="I30" s="22">
        <f>D30+(E30*F30)</f>
        <v/>
      </c>
      <c r="J30" s="23">
        <f>1-H30</f>
        <v/>
      </c>
      <c r="K30" s="22">
        <f>G30*J30*I30</f>
        <v/>
      </c>
      <c r="L30" s="23">
        <f>K30/I30</f>
        <v/>
      </c>
    </row>
    <row r="31">
      <c r="A31" s="16" t="inlineStr">
        <is>
          <t>CR-1003</t>
        </is>
      </c>
      <c r="B31" s="17" t="inlineStr">
        <is>
          <t>Logística Gamma SpA</t>
        </is>
      </c>
      <c r="C31" s="17" t="inlineStr">
        <is>
          <t>Transporte</t>
        </is>
      </c>
      <c r="D31" s="18" t="n">
        <v>850000</v>
      </c>
      <c r="E31" s="18" t="n">
        <v>200000</v>
      </c>
      <c r="F31" s="19" t="n">
        <v>0.5</v>
      </c>
      <c r="G31" s="19" t="n">
        <v>0.082</v>
      </c>
      <c r="H31" s="19" t="n">
        <v>0.35</v>
      </c>
      <c r="I31" s="18">
        <f>D31+(E31*F31)</f>
        <v/>
      </c>
      <c r="J31" s="19">
        <f>1-H31</f>
        <v/>
      </c>
      <c r="K31" s="18">
        <f>G31*J31*I31</f>
        <v/>
      </c>
      <c r="L31" s="19">
        <f>K31/I31</f>
        <v/>
      </c>
    </row>
    <row r="32">
      <c r="A32" s="20" t="inlineStr">
        <is>
          <t>CR-1004</t>
        </is>
      </c>
      <c r="B32" s="21" t="inlineStr">
        <is>
          <t>Desarrollos Delta</t>
        </is>
      </c>
      <c r="C32" s="21" t="inlineStr">
        <is>
          <t>Inmobiliario</t>
        </is>
      </c>
      <c r="D32" s="22" t="n">
        <v>3200000</v>
      </c>
      <c r="E32" s="22" t="n">
        <v>1000000</v>
      </c>
      <c r="F32" s="23" t="n">
        <v>0.75</v>
      </c>
      <c r="G32" s="23" t="n">
        <v>0.015</v>
      </c>
      <c r="H32" s="23" t="n">
        <v>0.7</v>
      </c>
      <c r="I32" s="22">
        <f>D32+(E32*F32)</f>
        <v/>
      </c>
      <c r="J32" s="23" t="n"/>
      <c r="K32" s="22">
        <f>G32*J32*I32</f>
        <v/>
      </c>
      <c r="L32" s="23">
        <f>K32/I32</f>
        <v/>
      </c>
    </row>
    <row r="33">
      <c r="A33" s="16" t="inlineStr">
        <is>
          <t>CR-1005</t>
        </is>
      </c>
      <c r="B33" s="17" t="inlineStr">
        <is>
          <t>Tecnología Epsilon</t>
        </is>
      </c>
      <c r="C33" s="17" t="inlineStr">
        <is>
          <t>Tecnología</t>
        </is>
      </c>
      <c r="D33" s="18" t="n">
        <v>600000</v>
      </c>
      <c r="E33" s="18" t="n">
        <v>300000</v>
      </c>
      <c r="F33" s="19" t="n">
        <v>0.3</v>
      </c>
      <c r="G33" s="19" t="n">
        <v>0.065</v>
      </c>
      <c r="H33" s="19" t="n">
        <v>0.25</v>
      </c>
      <c r="I33" s="18">
        <f>D33+(E33*F33)</f>
        <v/>
      </c>
      <c r="J33" s="19">
        <f>1-H33</f>
        <v/>
      </c>
      <c r="K33" s="18">
        <f>G33*J33*I33</f>
        <v/>
      </c>
      <c r="L33" s="19">
        <f>K33/I33</f>
        <v/>
      </c>
    </row>
    <row r="34">
      <c r="A34" s="20" t="inlineStr">
        <is>
          <t>CR-1006</t>
        </is>
      </c>
      <c r="B34" s="21" t="inlineStr">
        <is>
          <t>Agropecuaria Zeta</t>
        </is>
      </c>
      <c r="C34" s="21" t="inlineStr">
        <is>
          <t>Agroindustria</t>
        </is>
      </c>
      <c r="D34" s="22" t="n">
        <v>1100000</v>
      </c>
      <c r="E34" s="22" t="n">
        <v>150000</v>
      </c>
      <c r="F34" s="23" t="n">
        <v>0.25</v>
      </c>
      <c r="G34" s="23" t="n"/>
      <c r="H34" s="23" t="n">
        <v>0.5</v>
      </c>
      <c r="I34" s="22">
        <f>D34+(E34*F34)</f>
        <v/>
      </c>
      <c r="J34" s="23">
        <f>1-H34</f>
        <v/>
      </c>
      <c r="K34" s="22">
        <f>G34*J34*I34</f>
        <v/>
      </c>
      <c r="L34" s="23">
        <f>K34/I34</f>
        <v/>
      </c>
    </row>
    <row r="35">
      <c r="A35" s="16" t="inlineStr">
        <is>
          <t>CR-1007</t>
        </is>
      </c>
      <c r="B35" s="17" t="inlineStr">
        <is>
          <t>Servicios Eta Ltda.</t>
        </is>
      </c>
      <c r="C35" s="17" t="inlineStr">
        <is>
          <t>Servicios</t>
        </is>
      </c>
      <c r="D35" s="18" t="n">
        <v>280000</v>
      </c>
      <c r="E35" s="18" t="inlineStr">
        <is>
          <t>cincuenta mil</t>
        </is>
      </c>
      <c r="F35" s="19" t="n">
        <v>0.15</v>
      </c>
      <c r="G35" s="19" t="n">
        <v>0.095</v>
      </c>
      <c r="H35" s="19" t="n">
        <v>0.3</v>
      </c>
      <c r="I35" s="18">
        <f>D35+(E35*F35)</f>
        <v/>
      </c>
      <c r="J35" s="19">
        <f>1-H35</f>
        <v/>
      </c>
      <c r="K35" s="18">
        <f>G35*J35*I35</f>
        <v/>
      </c>
      <c r="L35" s="19">
        <f>K35/I35</f>
        <v/>
      </c>
    </row>
    <row r="36">
      <c r="A36" s="20" t="inlineStr">
        <is>
          <t>CR-1008</t>
        </is>
      </c>
      <c r="B36" s="21" t="inlineStr">
        <is>
          <t>Alimentos Theta</t>
        </is>
      </c>
      <c r="C36" s="21" t="n"/>
      <c r="D36" s="22" t="n">
        <v>950000</v>
      </c>
      <c r="E36" s="22" t="n">
        <v>200000</v>
      </c>
      <c r="F36" s="23" t="n">
        <v>0.4</v>
      </c>
      <c r="G36" s="23" t="n">
        <v>0.018</v>
      </c>
      <c r="H36" s="23" t="n">
        <v>0.65</v>
      </c>
      <c r="I36" s="22">
        <f>D36+(E36*F36)</f>
        <v/>
      </c>
      <c r="J36" s="23">
        <f>1-H36</f>
        <v/>
      </c>
      <c r="K36" s="22">
        <f>G36*J36*I36</f>
        <v/>
      </c>
      <c r="L36" s="23">
        <f>K36/I36</f>
        <v/>
      </c>
    </row>
    <row r="37">
      <c r="A37" s="16" t="inlineStr">
        <is>
          <t>CR-1009</t>
        </is>
      </c>
      <c r="B37" s="17" t="inlineStr">
        <is>
          <t>Constructora Iota</t>
        </is>
      </c>
      <c r="C37" s="17" t="inlineStr">
        <is>
          <t>Construcción</t>
        </is>
      </c>
      <c r="D37" s="18" t="n">
        <v>2400000</v>
      </c>
      <c r="E37" s="18" t="n">
        <v>800000</v>
      </c>
      <c r="F37" s="19" t="n">
        <v>0.6</v>
      </c>
      <c r="G37" s="19" t="n"/>
      <c r="H37" s="19" t="n">
        <v>0.45</v>
      </c>
      <c r="I37" s="18" t="n"/>
      <c r="J37" s="19">
        <f>1-H37</f>
        <v/>
      </c>
      <c r="K37" s="18">
        <f>G37*J37*I37</f>
        <v/>
      </c>
      <c r="L37" s="19">
        <f>K37/I37</f>
        <v/>
      </c>
    </row>
    <row r="38">
      <c r="A38" s="20" t="inlineStr">
        <is>
          <t>CR-1010</t>
        </is>
      </c>
      <c r="B38" s="21" t="inlineStr">
        <is>
          <t>Farmacéutica Kappa</t>
        </is>
      </c>
      <c r="C38" s="21" t="inlineStr">
        <is>
          <t>Salud</t>
        </is>
      </c>
      <c r="D38" s="22" t="n">
        <v>1800000</v>
      </c>
      <c r="E38" s="22" t="n">
        <v>400000</v>
      </c>
      <c r="F38" s="23" t="n">
        <v>0.3</v>
      </c>
      <c r="G38" s="23" t="n">
        <v>0.008999999999999999</v>
      </c>
      <c r="H38" s="23" t="n">
        <v>0.75</v>
      </c>
      <c r="I38" s="22">
        <f>D38+(E38*F38)</f>
        <v/>
      </c>
      <c r="J38" s="23">
        <f>1-H38</f>
        <v/>
      </c>
      <c r="K38" s="22">
        <f>G38*J38*I38</f>
        <v/>
      </c>
      <c r="L38" s="23">
        <f>K38/I38</f>
        <v/>
      </c>
    </row>
    <row r="39">
      <c r="A39" s="16" t="n"/>
      <c r="B39" s="17" t="inlineStr">
        <is>
          <t>Textiles Lambda</t>
        </is>
      </c>
      <c r="C39" s="17" t="inlineStr">
        <is>
          <t>Retail</t>
        </is>
      </c>
      <c r="D39" s="18" t="n">
        <v>520000</v>
      </c>
      <c r="E39" s="18" t="n">
        <v>120000</v>
      </c>
      <c r="F39" s="19" t="n">
        <v>0.25</v>
      </c>
      <c r="G39" s="19" t="n">
        <v>0.074</v>
      </c>
      <c r="H39" s="19" t="n">
        <v>0.35</v>
      </c>
      <c r="I39" s="18">
        <f>D39+(E39*F39)</f>
        <v/>
      </c>
      <c r="J39" s="19">
        <f>1-H39</f>
        <v/>
      </c>
      <c r="K39" s="18">
        <f>G39*J39*I39</f>
        <v/>
      </c>
      <c r="L39" s="19">
        <f>K39/I39</f>
        <v/>
      </c>
    </row>
    <row r="40">
      <c r="A40" s="20" t="inlineStr">
        <is>
          <t>CR-1012</t>
        </is>
      </c>
      <c r="B40" s="21" t="inlineStr">
        <is>
          <t>Energías Mu</t>
        </is>
      </c>
      <c r="C40" s="21" t="inlineStr">
        <is>
          <t>Energía</t>
        </is>
      </c>
      <c r="D40" s="22" t="n">
        <v>4500000</v>
      </c>
      <c r="E40" s="22" t="n">
        <v>1500000</v>
      </c>
      <c r="F40" s="23" t="n">
        <v>0.8</v>
      </c>
      <c r="G40" s="23" t="n">
        <v>0.012</v>
      </c>
      <c r="H40" s="23" t="n">
        <v>0.8</v>
      </c>
      <c r="I40" s="22">
        <f>D40+(E40*F40)</f>
        <v/>
      </c>
      <c r="J40" s="23">
        <f>1-H40</f>
        <v/>
      </c>
      <c r="K40" s="22">
        <f>G40*J40*I40</f>
        <v/>
      </c>
      <c r="L40" s="23">
        <f>K40/I40</f>
        <v/>
      </c>
    </row>
    <row r="41">
      <c r="A41" s="16" t="inlineStr">
        <is>
          <t>CR-1013</t>
        </is>
      </c>
      <c r="B41" s="17" t="inlineStr">
        <is>
          <t>Restaurantes Nu</t>
        </is>
      </c>
      <c r="C41" s="17" t="inlineStr">
        <is>
          <t>Hostelería</t>
        </is>
      </c>
      <c r="D41" s="18" t="n">
        <v>340000</v>
      </c>
      <c r="E41" s="18" t="n">
        <v>80000</v>
      </c>
      <c r="F41" s="19" t="n">
        <v>0.2</v>
      </c>
      <c r="G41" s="19" t="n">
        <v>0.125</v>
      </c>
      <c r="H41" s="19" t="n">
        <v>0.2</v>
      </c>
      <c r="I41" s="18" t="inlineStr">
        <is>
          <t>trescientos cincuenta y seis mil</t>
        </is>
      </c>
      <c r="J41" s="19">
        <f>1-H41</f>
        <v/>
      </c>
      <c r="K41" s="18">
        <f>G41*J41*I41</f>
        <v/>
      </c>
      <c r="L41" s="19">
        <f>K41/I41</f>
        <v/>
      </c>
    </row>
    <row r="42">
      <c r="A42" s="20" t="inlineStr">
        <is>
          <t>CR-1014</t>
        </is>
      </c>
      <c r="B42" s="21" t="inlineStr">
        <is>
          <t>Metalúrgica Xi</t>
        </is>
      </c>
      <c r="C42" s="21" t="n"/>
      <c r="D42" s="22" t="n">
        <v>1300000</v>
      </c>
      <c r="E42" s="22" t="n">
        <v>300000</v>
      </c>
      <c r="F42" s="23" t="n">
        <v>0.5</v>
      </c>
      <c r="G42" s="23" t="n">
        <v>0.032</v>
      </c>
      <c r="H42" s="23" t="n">
        <v>0.5</v>
      </c>
      <c r="I42" s="22">
        <f>D42+(E42*F42)</f>
        <v/>
      </c>
      <c r="J42" s="23">
        <f>1-H42</f>
        <v/>
      </c>
      <c r="K42" s="22">
        <f>G42*J42*I42</f>
        <v/>
      </c>
      <c r="L42" s="23">
        <f>K42/I42</f>
        <v/>
      </c>
    </row>
    <row r="43">
      <c r="A43" s="16" t="inlineStr">
        <is>
          <t>CR-1015</t>
        </is>
      </c>
      <c r="B43" s="17" t="inlineStr">
        <is>
          <t>Plásticos Omicron</t>
        </is>
      </c>
      <c r="C43" s="17" t="inlineStr">
        <is>
          <t>Manufactura</t>
        </is>
      </c>
      <c r="D43" s="18" t="n">
        <v>780000</v>
      </c>
      <c r="E43" s="18" t="n">
        <v>150000</v>
      </c>
      <c r="F43" s="19" t="n">
        <v>0.35</v>
      </c>
      <c r="G43" s="19" t="n">
        <v>0.055</v>
      </c>
      <c r="H43" s="19" t="n">
        <v>0.4</v>
      </c>
      <c r="I43" s="18" t="n"/>
      <c r="J43" s="19">
        <f>1-H43</f>
        <v/>
      </c>
      <c r="K43" s="18">
        <f>G43*J43*I43</f>
        <v/>
      </c>
      <c r="L43" s="19">
        <f>K43/I43</f>
        <v/>
      </c>
    </row>
    <row r="44">
      <c r="A44" s="20" t="inlineStr">
        <is>
          <t>CR-1016</t>
        </is>
      </c>
      <c r="B44" s="21" t="inlineStr">
        <is>
          <t>Automotriz Pi</t>
        </is>
      </c>
      <c r="C44" s="21" t="inlineStr">
        <is>
          <t>Automotriz</t>
        </is>
      </c>
      <c r="D44" s="22" t="n">
        <v>2100000</v>
      </c>
      <c r="E44" s="22" t="n">
        <v>500000</v>
      </c>
      <c r="F44" s="23" t="n">
        <v>0.45</v>
      </c>
      <c r="G44" s="23" t="n">
        <v>0.028</v>
      </c>
      <c r="H44" s="23" t="n">
        <v>0.6</v>
      </c>
      <c r="I44" s="22">
        <f>D44+(E44*F44)</f>
        <v/>
      </c>
      <c r="J44" s="23">
        <f>1-H44</f>
        <v/>
      </c>
      <c r="K44" s="22">
        <f>G44*J44*I44</f>
        <v/>
      </c>
      <c r="L44" s="23">
        <f>K44/I44</f>
        <v/>
      </c>
    </row>
    <row r="45">
      <c r="A45" s="16" t="inlineStr">
        <is>
          <t>CR-1017</t>
        </is>
      </c>
      <c r="B45" s="17" t="inlineStr">
        <is>
          <t>Editorial Rho</t>
        </is>
      </c>
      <c r="C45" s="17" t="inlineStr">
        <is>
          <t>Medios</t>
        </is>
      </c>
      <c r="D45" s="18" t="n">
        <v>190000</v>
      </c>
      <c r="E45" s="18" t="n">
        <v>40000</v>
      </c>
      <c r="F45" s="19" t="n">
        <v>0.1</v>
      </c>
      <c r="G45" s="19" t="n">
        <v>0.08799999999999999</v>
      </c>
      <c r="H45" s="19" t="n">
        <v>0.3</v>
      </c>
      <c r="I45" s="18">
        <f>D45+(E45*F45)</f>
        <v/>
      </c>
      <c r="J45" s="19">
        <f>1-H45</f>
        <v/>
      </c>
      <c r="K45" s="18">
        <f>G45*J45*I45</f>
        <v/>
      </c>
      <c r="L45" s="19">
        <f>K45/I45</f>
        <v/>
      </c>
    </row>
    <row r="46">
      <c r="A46" s="20" t="inlineStr">
        <is>
          <t>CR-1018</t>
        </is>
      </c>
      <c r="B46" s="21" t="inlineStr">
        <is>
          <t>Química Sigma</t>
        </is>
      </c>
      <c r="C46" s="21" t="inlineStr">
        <is>
          <t>Químico</t>
        </is>
      </c>
      <c r="D46" s="22" t="n">
        <v>1650000</v>
      </c>
      <c r="E46" s="22" t="n">
        <v>350000</v>
      </c>
      <c r="F46" s="23" t="n">
        <v>0.4</v>
      </c>
      <c r="G46" s="23" t="n"/>
      <c r="H46" s="23" t="n">
        <v>0.6</v>
      </c>
      <c r="I46" s="22">
        <f>D46+(E46*F46)</f>
        <v/>
      </c>
      <c r="J46" s="23">
        <f>1-H46</f>
        <v/>
      </c>
      <c r="K46" s="22">
        <f>G46*J46*I46</f>
        <v/>
      </c>
      <c r="L46" s="23">
        <f>K46/I46</f>
        <v/>
      </c>
    </row>
    <row r="47">
      <c r="A47" s="16" t="inlineStr">
        <is>
          <t>CR-1019</t>
        </is>
      </c>
      <c r="B47" s="17" t="inlineStr">
        <is>
          <t>Telecom Tau</t>
        </is>
      </c>
      <c r="C47" s="17" t="inlineStr">
        <is>
          <t>Telecomunicaciones</t>
        </is>
      </c>
      <c r="D47" s="18" t="n">
        <v>2900000</v>
      </c>
      <c r="E47" s="18" t="n">
        <v>600000</v>
      </c>
      <c r="F47" s="19" t="n">
        <v>0.5</v>
      </c>
      <c r="G47" s="19" t="n">
        <v>0.017</v>
      </c>
      <c r="H47" s="19" t="n">
        <v>0.65</v>
      </c>
      <c r="I47" s="18">
        <f>D47+(E47*F47)</f>
        <v/>
      </c>
      <c r="J47" s="19">
        <f>1-H47</f>
        <v/>
      </c>
      <c r="K47" s="18">
        <f>G47*J47*I47</f>
        <v/>
      </c>
      <c r="L47" s="19">
        <f>K47/I47</f>
        <v/>
      </c>
    </row>
    <row r="48">
      <c r="A48" s="20" t="inlineStr">
        <is>
          <t>CR-1020</t>
        </is>
      </c>
      <c r="B48" s="21" t="inlineStr">
        <is>
          <t>Minera Upsilon</t>
        </is>
      </c>
      <c r="C48" s="21" t="inlineStr">
        <is>
          <t>Minería</t>
        </is>
      </c>
      <c r="D48" s="22" t="n">
        <v>5000000</v>
      </c>
      <c r="E48" s="22" t="n">
        <v>2000000</v>
      </c>
      <c r="F48" s="23" t="n">
        <v>0.7</v>
      </c>
      <c r="G48" s="23" t="n">
        <v>0.035</v>
      </c>
      <c r="H48" s="23" t="n">
        <v>0.5</v>
      </c>
      <c r="I48" s="22">
        <f>D48+(E48*F48)</f>
        <v/>
      </c>
      <c r="J48" s="23">
        <f>1-H48</f>
        <v/>
      </c>
      <c r="K48" s="22">
        <f>G48*J48*I48</f>
        <v/>
      </c>
      <c r="L48" s="23">
        <f>K48/I48</f>
        <v/>
      </c>
    </row>
    <row r="49">
      <c r="A49" s="16" t="inlineStr">
        <is>
          <t>CR-1003</t>
        </is>
      </c>
      <c r="B49" s="17" t="inlineStr">
        <is>
          <t>Logística Gamma SpA</t>
        </is>
      </c>
      <c r="C49" s="17" t="n"/>
      <c r="D49" s="18" t="n">
        <v>850000</v>
      </c>
      <c r="E49" s="18" t="n">
        <v>200000</v>
      </c>
      <c r="F49" s="19" t="n">
        <v>0.5</v>
      </c>
      <c r="G49" s="19" t="n">
        <v>0.082</v>
      </c>
      <c r="H49" s="19" t="n">
        <v>0.35</v>
      </c>
      <c r="I49" s="18">
        <f>D49+(E49*F49)</f>
        <v/>
      </c>
      <c r="J49" s="19">
        <f>1-H49</f>
        <v/>
      </c>
      <c r="K49" s="18">
        <f>G49*J49*I49</f>
        <v/>
      </c>
      <c r="L49" s="19">
        <f>K49/I49</f>
        <v/>
      </c>
    </row>
    <row r="50">
      <c r="A50" s="20" t="inlineStr">
        <is>
          <t>CR-1004</t>
        </is>
      </c>
      <c r="B50" s="21" t="inlineStr">
        <is>
          <t>Desarrollos Delta</t>
        </is>
      </c>
      <c r="C50" s="21" t="inlineStr">
        <is>
          <t>Inmobiliario</t>
        </is>
      </c>
      <c r="D50" s="22" t="n">
        <v>3200000</v>
      </c>
      <c r="E50" s="22" t="n">
        <v>1000000</v>
      </c>
      <c r="F50" s="23" t="n">
        <v>0.75</v>
      </c>
      <c r="G50" s="23" t="n">
        <v>0.015</v>
      </c>
      <c r="H50" s="23" t="n">
        <v>0.7</v>
      </c>
      <c r="I50" s="22">
        <f>D50+(E50*F50)</f>
        <v/>
      </c>
      <c r="J50" s="23">
        <f>1-H50</f>
        <v/>
      </c>
      <c r="K50" s="22">
        <f>G50*J50*I50</f>
        <v/>
      </c>
      <c r="L50" s="23">
        <f>K50/I50</f>
        <v/>
      </c>
    </row>
    <row r="51">
      <c r="A51" s="16" t="inlineStr">
        <is>
          <t>CR-1005</t>
        </is>
      </c>
      <c r="B51" s="17" t="inlineStr">
        <is>
          <t>Tecnología Epsilon</t>
        </is>
      </c>
      <c r="C51" s="17" t="inlineStr">
        <is>
          <t>Tecnología</t>
        </is>
      </c>
      <c r="D51" s="18" t="n">
        <v>600000</v>
      </c>
      <c r="E51" s="18" t="n">
        <v>300000</v>
      </c>
      <c r="F51" s="19" t="n">
        <v>0.3</v>
      </c>
      <c r="G51" s="19" t="n">
        <v>0.065</v>
      </c>
      <c r="H51" s="19" t="n">
        <v>0.25</v>
      </c>
      <c r="I51" s="18" t="n"/>
      <c r="J51" s="19">
        <f>1-H51</f>
        <v/>
      </c>
      <c r="K51" s="18">
        <f>G51*J51*I51</f>
        <v/>
      </c>
      <c r="L51" s="19">
        <f>K51/I51</f>
        <v/>
      </c>
    </row>
    <row r="52" ht="15" customHeight="1">
      <c r="A52" s="24" t="inlineStr">
        <is>
          <t>TOTALES / PROMEDIOS</t>
        </is>
      </c>
      <c r="B52" s="25" t="n"/>
      <c r="C52" s="25" t="n"/>
      <c r="D52" s="26">
        <f>SUM(D9:D28)</f>
        <v/>
      </c>
      <c r="E52" s="26">
        <f>SUM(E9:E28)</f>
        <v/>
      </c>
      <c r="F52" s="27">
        <f>AVERAGE(F9:F28)</f>
        <v/>
      </c>
      <c r="G52" s="27">
        <f>AVERAGE(G9:G28)</f>
        <v/>
      </c>
      <c r="H52" s="27">
        <f>AVERAGE(H9:H28)</f>
        <v/>
      </c>
      <c r="I52" s="26">
        <f>SUM(I9:I28)</f>
        <v/>
      </c>
      <c r="J52" s="27">
        <f>AVERAGE(J9:J28)</f>
        <v/>
      </c>
      <c r="K52" s="26">
        <f>SUM(K9:K28)</f>
        <v/>
      </c>
      <c r="L52" s="27">
        <f>K52/I52</f>
        <v/>
      </c>
    </row>
    <row r="53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2026-10-21T00:37:45Z</dcterms:created>
  <dcterms:modified xmlns:dcterms="http://purl.org/dc/terms/" xmlns:xsi="http://www.w3.org/2001/XMLSchema-instance" xsi:type="dcterms:W3CDTF">2026-10-21T00:38:35Z</dcterms:modified>
</cp:coreProperties>
</file>