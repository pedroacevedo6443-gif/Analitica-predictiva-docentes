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Base limpi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8">
    <font>
      <name val="Aptos Narrow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1F497D"/>
      <sz val="16"/>
    </font>
    <font>
      <name val="Calibri"/>
      <i val="1"/>
      <color rgb="FF595959"/>
      <sz val="11"/>
    </font>
    <font>
      <name val="Calibri"/>
      <b val="1"/>
      <color rgb="FFC00000"/>
      <sz val="11"/>
    </font>
    <font>
      <name val="Calibri"/>
      <i val="1"/>
      <color rgb="FF333333"/>
      <sz val="10"/>
    </font>
  </fonts>
  <fills count="6">
    <fill>
      <patternFill/>
    </fill>
    <fill>
      <patternFill patternType="gray125"/>
    </fill>
    <fill>
      <patternFill patternType="solid">
        <fgColor rgb="FFF2F5F9"/>
        <bgColor rgb="FFF2F5F9"/>
      </patternFill>
    </fill>
    <fill>
      <patternFill patternType="solid">
        <fgColor rgb="FF2F5597"/>
        <bgColor rgb="FF2F5597"/>
      </patternFill>
    </fill>
    <fill>
      <patternFill patternType="solid">
        <fgColor rgb="FF385723"/>
        <bgColor rgb="FF385723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00000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right" vertical="center"/>
    </xf>
    <xf numFmtId="10" fontId="1" fillId="0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164" fontId="1" fillId="2" borderId="1" applyAlignment="1" pivotButton="0" quotePrefix="0" xfId="0">
      <alignment horizontal="right" vertical="center"/>
    </xf>
    <xf numFmtId="10" fontId="1" fillId="2" borderId="1" applyAlignment="1" pivotButton="0" quotePrefix="0" xfId="0">
      <alignment horizontal="right" vertical="center"/>
    </xf>
    <xf numFmtId="0" fontId="2" fillId="0" borderId="2" applyAlignment="1" pivotButton="0" quotePrefix="0" xfId="0">
      <alignment horizontal="left" vertical="center"/>
    </xf>
    <xf numFmtId="0" fontId="2" fillId="0" borderId="2" pivotButton="0" quotePrefix="0" xfId="0"/>
    <xf numFmtId="164" fontId="2" fillId="0" borderId="2" pivotButton="0" quotePrefix="0" xfId="0"/>
    <xf numFmtId="10" fontId="2" fillId="0" borderId="2" pivotButton="0" quotePrefix="0" xfId="0"/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5" borderId="0" pivotButton="0" quotePrefix="0" xfId="0"/>
    <xf numFmtId="3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  <xf numFmtId="3" fontId="0" fillId="5" borderId="0" pivotButton="0" quotePrefix="0" xfId="0"/>
    <xf numFmtId="9" fontId="0" fillId="5" borderId="0" pivotButton="0" quotePrefix="0" xfId="0"/>
    <xf numFmtId="10" fontId="0" fillId="5" borderId="0" pivotButton="0" quotePrefix="0" xfId="0"/>
    <xf numFmtId="10" fontId="0" fillId="0" borderId="0" pivotButton="0" quotePrefix="0" xfId="0"/>
  </cellXfs>
  <cellStyles count="1">
    <cellStyle name="Normal" xfId="0" builtinId="0"/>
  </cellStyles>
  <dxfs count="1">
    <dxf>
      <font>
        <name val="Calibri"/>
        <color rgb="FF9C0006"/>
        <sz val="11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16" customWidth="1" min="4" max="4"/>
    <col width="16" customWidth="1" min="5" max="5"/>
    <col width="8" customWidth="1" min="6" max="6"/>
    <col width="8" customWidth="1" min="7" max="7"/>
    <col width="12" customWidth="1" min="8" max="8"/>
    <col width="16" customWidth="1" min="9" max="9"/>
    <col width="10" customWidth="1" min="10" max="10"/>
    <col width="14" customWidth="1" min="11" max="11"/>
    <col width="10" customWidth="1" min="12" max="12"/>
  </cols>
  <sheetData>
    <row r="1">
      <c r="A1" t="inlineStr">
        <is>
          <t>ID Crédito</t>
        </is>
      </c>
      <c r="B1" t="inlineStr">
        <is>
          <t>Cliente / Empresa</t>
        </is>
      </c>
      <c r="C1" t="inlineStr">
        <is>
          <t>Sector Industrial</t>
        </is>
      </c>
      <c r="D1" t="inlineStr">
        <is>
          <t>Saldo Deudor Actual ($)</t>
        </is>
      </c>
      <c r="E1" t="inlineStr">
        <is>
          <t>Línea No Utilizada ($)</t>
        </is>
      </c>
      <c r="F1" t="inlineStr">
        <is>
          <t>CCF (%)</t>
        </is>
      </c>
      <c r="G1" t="inlineStr">
        <is>
          <t>PD (%)</t>
        </is>
      </c>
      <c r="H1" t="inlineStr">
        <is>
          <t>Tasa Recuperación (%)</t>
        </is>
      </c>
      <c r="I1" t="inlineStr">
        <is>
          <t>EAD ($) [Fórmula]</t>
        </is>
      </c>
      <c r="J1" t="inlineStr">
        <is>
          <t>LGD (%) [Fórmula]</t>
        </is>
      </c>
      <c r="K1" t="inlineStr">
        <is>
          <t>EL ($) [Fórmula]</t>
        </is>
      </c>
      <c r="L1" t="inlineStr">
        <is>
          <t>EL (%) [Fórmula]</t>
        </is>
      </c>
    </row>
    <row r="2">
      <c r="A2" t="inlineStr">
        <is>
          <t>CR-1001</t>
        </is>
      </c>
      <c r="B2" t="inlineStr">
        <is>
          <t>Industrias Alfa S.A.</t>
        </is>
      </c>
      <c r="C2" t="inlineStr">
        <is>
          <t>Manufactura</t>
        </is>
      </c>
      <c r="D2" s="20" t="n">
        <v>1500000</v>
      </c>
      <c r="E2" s="20" t="n">
        <v>500000</v>
      </c>
      <c r="F2" s="21" t="n">
        <v>0.4</v>
      </c>
      <c r="G2" s="22" t="n">
        <v>0.025</v>
      </c>
      <c r="H2" s="21" t="n">
        <v>0.55</v>
      </c>
      <c r="I2" s="23">
        <f>D2+(E2*F2)</f>
        <v/>
      </c>
      <c r="J2" s="24">
        <f>1-H2</f>
        <v/>
      </c>
      <c r="K2" s="23">
        <f>G2*J2*I2</f>
        <v/>
      </c>
      <c r="L2" s="25">
        <f>K2/I2</f>
        <v/>
      </c>
    </row>
    <row r="3">
      <c r="A3" t="inlineStr">
        <is>
          <t>CR-1002</t>
        </is>
      </c>
      <c r="B3" t="inlineStr">
        <is>
          <t>Comercializadora Beta</t>
        </is>
      </c>
      <c r="C3" t="inlineStr">
        <is>
          <t>Retail</t>
        </is>
      </c>
      <c r="D3" s="20" t="n">
        <v>450000</v>
      </c>
      <c r="E3" s="20" t="n">
        <v>100000</v>
      </c>
      <c r="F3" s="21" t="n">
        <v>0.2</v>
      </c>
      <c r="G3" s="22" t="n">
        <v>0.048</v>
      </c>
      <c r="H3" s="21" t="n">
        <v>0.4</v>
      </c>
      <c r="I3" s="23">
        <f>D3+(E3*F3)</f>
        <v/>
      </c>
      <c r="J3" s="24">
        <f>1-H3</f>
        <v/>
      </c>
      <c r="K3" s="23">
        <f>G3*J3*I3</f>
        <v/>
      </c>
      <c r="L3" s="25">
        <f>K3/I3</f>
        <v/>
      </c>
    </row>
    <row r="4">
      <c r="A4" t="inlineStr">
        <is>
          <t>CR-1003</t>
        </is>
      </c>
      <c r="B4" t="inlineStr">
        <is>
          <t>Logística Gamma SpA</t>
        </is>
      </c>
      <c r="C4" t="inlineStr">
        <is>
          <t>Transporte</t>
        </is>
      </c>
      <c r="D4" s="20" t="n">
        <v>850000</v>
      </c>
      <c r="E4" s="20" t="n">
        <v>200000</v>
      </c>
      <c r="F4" s="21" t="n">
        <v>0.5</v>
      </c>
      <c r="G4" s="22" t="n">
        <v>0.082</v>
      </c>
      <c r="H4" s="21" t="n">
        <v>0.35</v>
      </c>
      <c r="I4" s="23">
        <f>D4+(E4*F4)</f>
        <v/>
      </c>
      <c r="J4" s="24">
        <f>1-H4</f>
        <v/>
      </c>
      <c r="K4" s="23">
        <f>G4*J4*I4</f>
        <v/>
      </c>
      <c r="L4" s="25">
        <f>K4/I4</f>
        <v/>
      </c>
    </row>
    <row r="5">
      <c r="A5" t="inlineStr">
        <is>
          <t>CR-1004</t>
        </is>
      </c>
      <c r="B5" t="inlineStr">
        <is>
          <t>Desarrollos Delta</t>
        </is>
      </c>
      <c r="C5" t="inlineStr">
        <is>
          <t>Inmobiliario</t>
        </is>
      </c>
      <c r="D5" s="20" t="n">
        <v>3200000</v>
      </c>
      <c r="E5" s="20" t="n">
        <v>1000000</v>
      </c>
      <c r="F5" s="21" t="n">
        <v>0.75</v>
      </c>
      <c r="G5" s="22" t="n">
        <v>0.015</v>
      </c>
      <c r="H5" s="21" t="n">
        <v>0.7</v>
      </c>
      <c r="I5" s="23">
        <f>D5+(E5*F5)</f>
        <v/>
      </c>
      <c r="J5" s="24">
        <f>1-H5</f>
        <v/>
      </c>
      <c r="K5" s="23">
        <f>G5*J5*I5</f>
        <v/>
      </c>
      <c r="L5" s="25">
        <f>K5/I5</f>
        <v/>
      </c>
    </row>
    <row r="6">
      <c r="A6" t="inlineStr">
        <is>
          <t>CR-1005</t>
        </is>
      </c>
      <c r="B6" t="inlineStr">
        <is>
          <t>Tecnología Epsilon</t>
        </is>
      </c>
      <c r="C6" t="inlineStr">
        <is>
          <t>Tecnología</t>
        </is>
      </c>
      <c r="D6" s="20" t="n">
        <v>600000</v>
      </c>
      <c r="E6" s="20" t="n">
        <v>300000</v>
      </c>
      <c r="F6" s="21" t="n">
        <v>0.3</v>
      </c>
      <c r="G6" s="22" t="n">
        <v>0.065</v>
      </c>
      <c r="H6" s="21" t="n">
        <v>0.25</v>
      </c>
      <c r="I6" s="23">
        <f>D6+(E6*F6)</f>
        <v/>
      </c>
      <c r="J6" s="24">
        <f>1-H6</f>
        <v/>
      </c>
      <c r="K6" s="23">
        <f>G6*J6*I6</f>
        <v/>
      </c>
      <c r="L6" s="25">
        <f>K6/I6</f>
        <v/>
      </c>
    </row>
    <row r="7">
      <c r="A7" t="inlineStr">
        <is>
          <t>CR-1006</t>
        </is>
      </c>
      <c r="B7" t="inlineStr">
        <is>
          <t>Agropecuaria Zeta</t>
        </is>
      </c>
      <c r="C7" t="inlineStr">
        <is>
          <t>Agroindustria</t>
        </is>
      </c>
      <c r="D7" s="20" t="n">
        <v>1100000</v>
      </c>
      <c r="E7" s="20" t="n">
        <v>150000</v>
      </c>
      <c r="F7" s="21" t="n">
        <v>0.25</v>
      </c>
      <c r="G7" s="22" t="n">
        <v>0.038</v>
      </c>
      <c r="H7" s="21" t="n">
        <v>0.5</v>
      </c>
      <c r="I7" s="23">
        <f>D7+(E7*F7)</f>
        <v/>
      </c>
      <c r="J7" s="24">
        <f>1-H7</f>
        <v/>
      </c>
      <c r="K7" s="23">
        <f>G7*J7*I7</f>
        <v/>
      </c>
      <c r="L7" s="25">
        <f>K7/I7</f>
        <v/>
      </c>
    </row>
    <row r="8">
      <c r="A8" t="inlineStr">
        <is>
          <t>CR-1007</t>
        </is>
      </c>
      <c r="B8" t="inlineStr">
        <is>
          <t>Servicios Eta Ltda.</t>
        </is>
      </c>
      <c r="C8" t="inlineStr">
        <is>
          <t>Servicios</t>
        </is>
      </c>
      <c r="D8" s="20" t="n">
        <v>280000</v>
      </c>
      <c r="E8" s="20" t="n">
        <v>50000</v>
      </c>
      <c r="F8" s="21" t="n">
        <v>0.15</v>
      </c>
      <c r="G8" s="22" t="n">
        <v>0.095</v>
      </c>
      <c r="H8" s="21" t="n">
        <v>0.3</v>
      </c>
      <c r="I8" s="23">
        <f>D8+(E8*F8)</f>
        <v/>
      </c>
      <c r="J8" s="24">
        <f>1-H8</f>
        <v/>
      </c>
      <c r="K8" s="23">
        <f>G8*J8*I8</f>
        <v/>
      </c>
      <c r="L8" s="25">
        <f>K8/I8</f>
        <v/>
      </c>
    </row>
    <row r="9">
      <c r="A9" t="inlineStr">
        <is>
          <t>CR-1008</t>
        </is>
      </c>
      <c r="B9" t="inlineStr">
        <is>
          <t>Alimentos Theta</t>
        </is>
      </c>
      <c r="C9" t="inlineStr">
        <is>
          <t>Manufactura</t>
        </is>
      </c>
      <c r="D9" s="20" t="n">
        <v>950000</v>
      </c>
      <c r="E9" s="20" t="n">
        <v>200000</v>
      </c>
      <c r="F9" s="21" t="n">
        <v>0.4</v>
      </c>
      <c r="G9" s="22" t="n">
        <v>0.018</v>
      </c>
      <c r="H9" s="21" t="n">
        <v>0.65</v>
      </c>
      <c r="I9" s="23">
        <f>D9+(E9*F9)</f>
        <v/>
      </c>
      <c r="J9" s="24">
        <f>1-H9</f>
        <v/>
      </c>
      <c r="K9" s="23">
        <f>G9*J9*I9</f>
        <v/>
      </c>
      <c r="L9" s="25">
        <f>K9/I9</f>
        <v/>
      </c>
    </row>
    <row r="10">
      <c r="A10" t="inlineStr">
        <is>
          <t>CR-1009</t>
        </is>
      </c>
      <c r="B10" t="inlineStr">
        <is>
          <t>Constructora Iota</t>
        </is>
      </c>
      <c r="C10" t="inlineStr">
        <is>
          <t>Construcción</t>
        </is>
      </c>
      <c r="D10" s="20" t="n">
        <v>2400000</v>
      </c>
      <c r="E10" s="20" t="n">
        <v>800000</v>
      </c>
      <c r="F10" s="21" t="n">
        <v>0.6</v>
      </c>
      <c r="G10" s="22" t="n">
        <v>0.11</v>
      </c>
      <c r="H10" s="21" t="n">
        <v>0.45</v>
      </c>
      <c r="I10" s="23">
        <f>D10+(E10*F10)</f>
        <v/>
      </c>
      <c r="J10" s="24">
        <f>1-H10</f>
        <v/>
      </c>
      <c r="K10" s="23">
        <f>G10*J10*I10</f>
        <v/>
      </c>
      <c r="L10" s="25">
        <f>K10/I10</f>
        <v/>
      </c>
    </row>
    <row r="11">
      <c r="A11" t="inlineStr">
        <is>
          <t>CR-1010</t>
        </is>
      </c>
      <c r="B11" t="inlineStr">
        <is>
          <t>Farmacéutica Kappa</t>
        </is>
      </c>
      <c r="C11" t="inlineStr">
        <is>
          <t>Salud</t>
        </is>
      </c>
      <c r="D11" s="20" t="n">
        <v>1800000</v>
      </c>
      <c r="E11" s="20" t="n">
        <v>400000</v>
      </c>
      <c r="F11" s="21" t="n">
        <v>0.3</v>
      </c>
      <c r="G11" s="22" t="n">
        <v>0.008999999999999999</v>
      </c>
      <c r="H11" s="21" t="n">
        <v>0.75</v>
      </c>
      <c r="I11" s="23">
        <f>D11+(E11*F11)</f>
        <v/>
      </c>
      <c r="J11" s="24">
        <f>1-H11</f>
        <v/>
      </c>
      <c r="K11" s="23">
        <f>G11*J11*I11</f>
        <v/>
      </c>
      <c r="L11" s="25">
        <f>K11/I11</f>
        <v/>
      </c>
    </row>
    <row r="12">
      <c r="A12" t="inlineStr">
        <is>
          <t>CR-1011</t>
        </is>
      </c>
      <c r="B12" t="inlineStr">
        <is>
          <t>Textiles Lambda</t>
        </is>
      </c>
      <c r="C12" t="inlineStr">
        <is>
          <t>Retail</t>
        </is>
      </c>
      <c r="D12" s="20" t="n">
        <v>520000</v>
      </c>
      <c r="E12" s="20" t="n">
        <v>120000</v>
      </c>
      <c r="F12" s="21" t="n">
        <v>0.25</v>
      </c>
      <c r="G12" s="22" t="n">
        <v>0.074</v>
      </c>
      <c r="H12" s="21" t="n">
        <v>0.35</v>
      </c>
      <c r="I12" s="23">
        <f>D12+(E12*F12)</f>
        <v/>
      </c>
      <c r="J12" s="24">
        <f>1-H12</f>
        <v/>
      </c>
      <c r="K12" s="23">
        <f>G12*J12*I12</f>
        <v/>
      </c>
      <c r="L12" s="25">
        <f>K12/I12</f>
        <v/>
      </c>
    </row>
    <row r="13">
      <c r="A13" t="inlineStr">
        <is>
          <t>CR-1012</t>
        </is>
      </c>
      <c r="B13" t="inlineStr">
        <is>
          <t>Energías Mu</t>
        </is>
      </c>
      <c r="C13" t="inlineStr">
        <is>
          <t>Energía</t>
        </is>
      </c>
      <c r="D13" s="20" t="n">
        <v>4500000</v>
      </c>
      <c r="E13" s="20" t="n">
        <v>1500000</v>
      </c>
      <c r="F13" s="21" t="n">
        <v>0.8</v>
      </c>
      <c r="G13" s="22" t="n">
        <v>0.012</v>
      </c>
      <c r="H13" s="21" t="n">
        <v>0.8</v>
      </c>
      <c r="I13" s="23">
        <f>D13+(E13*F13)</f>
        <v/>
      </c>
      <c r="J13" s="24">
        <f>1-H13</f>
        <v/>
      </c>
      <c r="K13" s="23">
        <f>G13*J13*I13</f>
        <v/>
      </c>
      <c r="L13" s="25">
        <f>K13/I13</f>
        <v/>
      </c>
    </row>
    <row r="14">
      <c r="A14" t="inlineStr">
        <is>
          <t>CR-1013</t>
        </is>
      </c>
      <c r="B14" t="inlineStr">
        <is>
          <t>Restaurantes Nu</t>
        </is>
      </c>
      <c r="C14" t="inlineStr">
        <is>
          <t>Hostelería</t>
        </is>
      </c>
      <c r="D14" s="20" t="n">
        <v>340000</v>
      </c>
      <c r="E14" s="20" t="n">
        <v>80000</v>
      </c>
      <c r="F14" s="21" t="n">
        <v>0.2</v>
      </c>
      <c r="G14" s="22" t="n">
        <v>0.125</v>
      </c>
      <c r="H14" s="21" t="n">
        <v>0.2</v>
      </c>
      <c r="I14" s="23">
        <f>D14+(E14*F14)</f>
        <v/>
      </c>
      <c r="J14" s="24">
        <f>1-H14</f>
        <v/>
      </c>
      <c r="K14" s="23">
        <f>G14*J14*I14</f>
        <v/>
      </c>
      <c r="L14" s="25">
        <f>K14/I14</f>
        <v/>
      </c>
    </row>
    <row r="15">
      <c r="A15" t="inlineStr">
        <is>
          <t>CR-1014</t>
        </is>
      </c>
      <c r="B15" t="inlineStr">
        <is>
          <t>Metalúrgica Xi</t>
        </is>
      </c>
      <c r="C15" t="inlineStr">
        <is>
          <t>Manufactura</t>
        </is>
      </c>
      <c r="D15" s="20" t="n">
        <v>1300000</v>
      </c>
      <c r="E15" s="20" t="n">
        <v>300000</v>
      </c>
      <c r="F15" s="21" t="n">
        <v>0.5</v>
      </c>
      <c r="G15" s="22" t="n">
        <v>0.032</v>
      </c>
      <c r="H15" s="21" t="n">
        <v>0.5</v>
      </c>
      <c r="I15" s="23">
        <f>D15+(E15*F15)</f>
        <v/>
      </c>
      <c r="J15" s="24">
        <f>1-H15</f>
        <v/>
      </c>
      <c r="K15" s="23">
        <f>G15*J15*I15</f>
        <v/>
      </c>
      <c r="L15" s="25">
        <f>K15/I15</f>
        <v/>
      </c>
    </row>
    <row r="16">
      <c r="A16" t="inlineStr">
        <is>
          <t>CR-1015</t>
        </is>
      </c>
      <c r="B16" t="inlineStr">
        <is>
          <t>Plásticos Omicron</t>
        </is>
      </c>
      <c r="C16" t="inlineStr">
        <is>
          <t>Manufactura</t>
        </is>
      </c>
      <c r="D16" s="20" t="n">
        <v>780000</v>
      </c>
      <c r="E16" s="20" t="n">
        <v>150000</v>
      </c>
      <c r="F16" s="21" t="n">
        <v>0.35</v>
      </c>
      <c r="G16" s="22" t="n">
        <v>0.055</v>
      </c>
      <c r="H16" s="21" t="n">
        <v>0.4</v>
      </c>
      <c r="I16" s="23">
        <f>D16+(E16*F16)</f>
        <v/>
      </c>
      <c r="J16" s="24">
        <f>1-H16</f>
        <v/>
      </c>
      <c r="K16" s="23">
        <f>G16*J16*I16</f>
        <v/>
      </c>
      <c r="L16" s="25">
        <f>K16/I16</f>
        <v/>
      </c>
    </row>
    <row r="17">
      <c r="A17" t="inlineStr">
        <is>
          <t>CR-1016</t>
        </is>
      </c>
      <c r="B17" t="inlineStr">
        <is>
          <t>Automotriz Pi</t>
        </is>
      </c>
      <c r="C17" t="inlineStr">
        <is>
          <t>Automotriz</t>
        </is>
      </c>
      <c r="D17" s="20" t="n">
        <v>2100000</v>
      </c>
      <c r="E17" s="20" t="n">
        <v>500000</v>
      </c>
      <c r="F17" s="21" t="n">
        <v>0.45</v>
      </c>
      <c r="G17" s="22" t="n">
        <v>0.028</v>
      </c>
      <c r="H17" s="21" t="n">
        <v>0.6</v>
      </c>
      <c r="I17" s="23">
        <f>D17+(E17*F17)</f>
        <v/>
      </c>
      <c r="J17" s="24">
        <f>1-H17</f>
        <v/>
      </c>
      <c r="K17" s="23">
        <f>G17*J17*I17</f>
        <v/>
      </c>
      <c r="L17" s="25">
        <f>K17/I17</f>
        <v/>
      </c>
    </row>
    <row r="18">
      <c r="A18" t="inlineStr">
        <is>
          <t>CR-1017</t>
        </is>
      </c>
      <c r="B18" t="inlineStr">
        <is>
          <t>Editorial Rho</t>
        </is>
      </c>
      <c r="C18" t="inlineStr">
        <is>
          <t>Medios</t>
        </is>
      </c>
      <c r="D18" s="20" t="n">
        <v>190000</v>
      </c>
      <c r="E18" s="20" t="n">
        <v>40000</v>
      </c>
      <c r="F18" s="21" t="n">
        <v>0.1</v>
      </c>
      <c r="G18" s="22" t="n">
        <v>0.08799999999999999</v>
      </c>
      <c r="H18" s="21" t="n">
        <v>0.3</v>
      </c>
      <c r="I18" s="23">
        <f>D18+(E18*F18)</f>
        <v/>
      </c>
      <c r="J18" s="24">
        <f>1-H18</f>
        <v/>
      </c>
      <c r="K18" s="23">
        <f>G18*J18*I18</f>
        <v/>
      </c>
      <c r="L18" s="25">
        <f>K18/I18</f>
        <v/>
      </c>
    </row>
    <row r="19">
      <c r="A19" t="inlineStr">
        <is>
          <t>CR-1018</t>
        </is>
      </c>
      <c r="B19" t="inlineStr">
        <is>
          <t>Química Sigma</t>
        </is>
      </c>
      <c r="C19" t="inlineStr">
        <is>
          <t>Químico</t>
        </is>
      </c>
      <c r="D19" s="20" t="n">
        <v>1650000</v>
      </c>
      <c r="E19" s="20" t="n">
        <v>350000</v>
      </c>
      <c r="F19" s="21" t="n">
        <v>0.4</v>
      </c>
      <c r="G19" s="22" t="n">
        <v>0.021</v>
      </c>
      <c r="H19" s="21" t="n">
        <v>0.6</v>
      </c>
      <c r="I19" s="23">
        <f>D19+(E19*F19)</f>
        <v/>
      </c>
      <c r="J19" s="24">
        <f>1-H19</f>
        <v/>
      </c>
      <c r="K19" s="23">
        <f>G19*J19*I19</f>
        <v/>
      </c>
      <c r="L19" s="25">
        <f>K19/I19</f>
        <v/>
      </c>
    </row>
    <row r="20">
      <c r="A20" t="inlineStr">
        <is>
          <t>CR-1019</t>
        </is>
      </c>
      <c r="B20" t="inlineStr">
        <is>
          <t>Telecom Tau</t>
        </is>
      </c>
      <c r="C20" t="inlineStr">
        <is>
          <t>Telecomunicaciones</t>
        </is>
      </c>
      <c r="D20" s="20" t="n">
        <v>2900000</v>
      </c>
      <c r="E20" s="20" t="n">
        <v>600000</v>
      </c>
      <c r="F20" s="21" t="n">
        <v>0.5</v>
      </c>
      <c r="G20" s="22" t="n">
        <v>0.017</v>
      </c>
      <c r="H20" s="21" t="n">
        <v>0.65</v>
      </c>
      <c r="I20" s="23">
        <f>D20+(E20*F20)</f>
        <v/>
      </c>
      <c r="J20" s="24">
        <f>1-H20</f>
        <v/>
      </c>
      <c r="K20" s="23">
        <f>G20*J20*I20</f>
        <v/>
      </c>
      <c r="L20" s="25">
        <f>K20/I20</f>
        <v/>
      </c>
    </row>
    <row r="21">
      <c r="A21" t="inlineStr">
        <is>
          <t>CR-1020</t>
        </is>
      </c>
      <c r="B21" t="inlineStr">
        <is>
          <t>Minera Upsilon</t>
        </is>
      </c>
      <c r="C21" t="inlineStr">
        <is>
          <t>Minería</t>
        </is>
      </c>
      <c r="D21" s="20" t="n">
        <v>5000000</v>
      </c>
      <c r="E21" s="20" t="n">
        <v>2000000</v>
      </c>
      <c r="F21" s="21" t="n">
        <v>0.7</v>
      </c>
      <c r="G21" s="22" t="n">
        <v>0.035</v>
      </c>
      <c r="H21" s="21" t="n">
        <v>0.5</v>
      </c>
      <c r="I21" s="23">
        <f>D21+(E21*F21)</f>
        <v/>
      </c>
      <c r="J21" s="24">
        <f>1-H21</f>
        <v/>
      </c>
      <c r="K21" s="23">
        <f>G21*J21*I21</f>
        <v/>
      </c>
      <c r="L21" s="25">
        <f>K21/I21</f>
        <v/>
      </c>
    </row>
    <row r="22">
      <c r="A22" t="inlineStr">
        <is>
          <t>TOTALES / PROMEDIOS</t>
        </is>
      </c>
      <c r="D22" s="20">
        <f>SUM(D2:D21)</f>
        <v/>
      </c>
      <c r="E22" s="20">
        <f>SUM(E2:E21)</f>
        <v/>
      </c>
      <c r="F22" s="21">
        <f>AVERAGE(F2:F21)</f>
        <v/>
      </c>
      <c r="G22" s="26">
        <f>AVERAGE(G2:G21)</f>
        <v/>
      </c>
      <c r="H22" s="21">
        <f>AVERAGE(H2:H21)</f>
        <v/>
      </c>
      <c r="I22" s="23">
        <f>SUM(I2:I21)</f>
        <v/>
      </c>
      <c r="J22" s="24">
        <f>AVERAGE(J2:J21)</f>
        <v/>
      </c>
      <c r="K22" s="23">
        <f>SUM(K2:K21)</f>
        <v/>
      </c>
      <c r="L22" s="25">
        <f>K22/I22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Nancy Elizabeth Licea Silva</dc:creator>
  <dcterms:created xmlns:dcterms="http://purl.org/dc/terms/" xmlns:xsi="http://www.w3.org/2001/XMLSchema-instance" xsi:type="dcterms:W3CDTF">2026-08-27T16:54:39Z</dcterms:created>
  <dcterms:modified xmlns:dcterms="http://purl.org/dc/terms/" xmlns:xsi="http://www.w3.org/2001/XMLSchema-instance" xsi:type="dcterms:W3CDTF">2026-10-21T00:37:07Z</dcterms:modified>
  <cp:lastModifiedBy>Nancy Elizabeth Licea Silva</cp:lastModifiedBy>
</cp:coreProperties>
</file>