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is\Downloads\CUCEA\CUGDL\"/>
    </mc:Choice>
  </mc:AlternateContent>
  <xr:revisionPtr revIDLastSave="0" documentId="13_ncr:1_{8DE4D842-BA97-4DC4-8202-16272F431AE3}" xr6:coauthVersionLast="47" xr6:coauthVersionMax="47" xr10:uidLastSave="{00000000-0000-0000-0000-000000000000}"/>
  <bookViews>
    <workbookView xWindow="-108" yWindow="-108" windowWidth="23256" windowHeight="12456" xr2:uid="{32E2D3E3-1B59-4552-909F-E683DDA80723}"/>
  </bookViews>
  <sheets>
    <sheet name="Ejercic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8" i="1" l="1"/>
  <c r="J51" i="1"/>
  <c r="K51" i="1" s="1"/>
  <c r="L51" i="1" s="1"/>
  <c r="J50" i="1"/>
  <c r="I50" i="1"/>
  <c r="J49" i="1"/>
  <c r="I49" i="1"/>
  <c r="J48" i="1"/>
  <c r="K48" i="1" s="1"/>
  <c r="L48" i="1" s="1"/>
  <c r="J47" i="1"/>
  <c r="I47" i="1"/>
  <c r="J46" i="1"/>
  <c r="I46" i="1"/>
  <c r="J45" i="1"/>
  <c r="I45" i="1"/>
  <c r="J44" i="1"/>
  <c r="I44" i="1"/>
  <c r="J43" i="1"/>
  <c r="K43" i="1" s="1"/>
  <c r="L43" i="1" s="1"/>
  <c r="J42" i="1"/>
  <c r="I42" i="1"/>
  <c r="J41" i="1"/>
  <c r="J40" i="1"/>
  <c r="I40" i="1"/>
  <c r="J39" i="1"/>
  <c r="I39" i="1"/>
  <c r="J38" i="1"/>
  <c r="I38" i="1"/>
  <c r="J37" i="1"/>
  <c r="J36" i="1"/>
  <c r="I36" i="1"/>
  <c r="J35" i="1"/>
  <c r="I35" i="1"/>
  <c r="K35" i="1" s="1"/>
  <c r="L35" i="1" s="1"/>
  <c r="J34" i="1"/>
  <c r="I34" i="1"/>
  <c r="J33" i="1"/>
  <c r="I33" i="1"/>
  <c r="I32" i="1"/>
  <c r="K32" i="1" s="1"/>
  <c r="L32" i="1" s="1"/>
  <c r="J31" i="1"/>
  <c r="I31" i="1"/>
  <c r="K31" i="1" s="1"/>
  <c r="L31" i="1" s="1"/>
  <c r="J30" i="1"/>
  <c r="I30" i="1"/>
  <c r="J29" i="1"/>
  <c r="I29" i="1"/>
  <c r="H52" i="1"/>
  <c r="G52" i="1"/>
  <c r="F52" i="1"/>
  <c r="E52" i="1"/>
  <c r="D52" i="1"/>
  <c r="J28" i="1"/>
  <c r="K28" i="1" s="1"/>
  <c r="L28" i="1" s="1"/>
  <c r="J27" i="1"/>
  <c r="I27" i="1"/>
  <c r="J26" i="1"/>
  <c r="I26" i="1"/>
  <c r="I25" i="1"/>
  <c r="J24" i="1"/>
  <c r="I24" i="1"/>
  <c r="J23" i="1"/>
  <c r="I23" i="1"/>
  <c r="J22" i="1"/>
  <c r="I22" i="1"/>
  <c r="J21" i="1"/>
  <c r="J20" i="1"/>
  <c r="I20" i="1"/>
  <c r="J19" i="1"/>
  <c r="I19" i="1"/>
  <c r="J18" i="1"/>
  <c r="I18" i="1"/>
  <c r="J17" i="1"/>
  <c r="I17" i="1"/>
  <c r="J16" i="1"/>
  <c r="I16" i="1"/>
  <c r="I15" i="1"/>
  <c r="K15" i="1" s="1"/>
  <c r="L15" i="1" s="1"/>
  <c r="J14" i="1"/>
  <c r="I14" i="1"/>
  <c r="J13" i="1"/>
  <c r="I13" i="1"/>
  <c r="J12" i="1"/>
  <c r="I12" i="1"/>
  <c r="J11" i="1"/>
  <c r="I11" i="1"/>
  <c r="J10" i="1"/>
  <c r="I10" i="1"/>
  <c r="J9" i="1"/>
  <c r="I9" i="1"/>
  <c r="K29" i="1" l="1"/>
  <c r="L29" i="1" s="1"/>
  <c r="K49" i="1"/>
  <c r="L49" i="1" s="1"/>
  <c r="K19" i="1"/>
  <c r="L19" i="1" s="1"/>
  <c r="K44" i="1"/>
  <c r="L44" i="1" s="1"/>
  <c r="K40" i="1"/>
  <c r="L40" i="1" s="1"/>
  <c r="K24" i="1"/>
  <c r="L24" i="1" s="1"/>
  <c r="K11" i="1"/>
  <c r="L11" i="1" s="1"/>
  <c r="K42" i="1"/>
  <c r="L42" i="1" s="1"/>
  <c r="K46" i="1"/>
  <c r="L46" i="1" s="1"/>
  <c r="K27" i="1"/>
  <c r="L27" i="1" s="1"/>
  <c r="K38" i="1"/>
  <c r="L38" i="1" s="1"/>
  <c r="K47" i="1"/>
  <c r="L47" i="1" s="1"/>
  <c r="K39" i="1"/>
  <c r="L39" i="1" s="1"/>
  <c r="K33" i="1"/>
  <c r="L33" i="1" s="1"/>
  <c r="K37" i="1"/>
  <c r="L37" i="1" s="1"/>
  <c r="K41" i="1"/>
  <c r="L41" i="1" s="1"/>
  <c r="K45" i="1"/>
  <c r="L45" i="1" s="1"/>
  <c r="K23" i="1"/>
  <c r="L23" i="1" s="1"/>
  <c r="K34" i="1"/>
  <c r="L34" i="1" s="1"/>
  <c r="K30" i="1"/>
  <c r="L30" i="1" s="1"/>
  <c r="K50" i="1"/>
  <c r="L50" i="1" s="1"/>
  <c r="K12" i="1"/>
  <c r="L12" i="1" s="1"/>
  <c r="K16" i="1"/>
  <c r="L16" i="1" s="1"/>
  <c r="K20" i="1"/>
  <c r="L20" i="1" s="1"/>
  <c r="K36" i="1"/>
  <c r="L36" i="1" s="1"/>
  <c r="I52" i="1"/>
  <c r="K9" i="1"/>
  <c r="K13" i="1"/>
  <c r="L13" i="1" s="1"/>
  <c r="K17" i="1"/>
  <c r="L17" i="1" s="1"/>
  <c r="K21" i="1"/>
  <c r="L21" i="1" s="1"/>
  <c r="K25" i="1"/>
  <c r="L25" i="1" s="1"/>
  <c r="K10" i="1"/>
  <c r="L10" i="1" s="1"/>
  <c r="K14" i="1"/>
  <c r="L14" i="1" s="1"/>
  <c r="K18" i="1"/>
  <c r="L18" i="1" s="1"/>
  <c r="K22" i="1"/>
  <c r="L22" i="1" s="1"/>
  <c r="K26" i="1"/>
  <c r="L26" i="1" s="1"/>
  <c r="L9" i="1"/>
  <c r="J52" i="1"/>
  <c r="K52" i="1" l="1"/>
  <c r="L52" i="1" s="1"/>
</calcChain>
</file>

<file path=xl/sharedStrings.xml><?xml version="1.0" encoding="utf-8"?>
<sst xmlns="http://schemas.openxmlformats.org/spreadsheetml/2006/main" count="142" uniqueCount="80">
  <si>
    <t>CR-1001</t>
  </si>
  <si>
    <t>Industrias Alfa S.A.</t>
  </si>
  <si>
    <t>Manufactura</t>
  </si>
  <si>
    <t>CR-1002</t>
  </si>
  <si>
    <t>Comercializadora Beta</t>
  </si>
  <si>
    <t>Retail</t>
  </si>
  <si>
    <t>CR-1003</t>
  </si>
  <si>
    <t>Logística Gamma SpA</t>
  </si>
  <si>
    <t>Transporte</t>
  </si>
  <si>
    <t>CR-1004</t>
  </si>
  <si>
    <t>Desarrollos Delta</t>
  </si>
  <si>
    <t>Inmobiliario</t>
  </si>
  <si>
    <t>CR-1005</t>
  </si>
  <si>
    <t>Tecnología Epsilon</t>
  </si>
  <si>
    <t>Tecnología</t>
  </si>
  <si>
    <t>CR-1006</t>
  </si>
  <si>
    <t>Agropecuaria Zeta</t>
  </si>
  <si>
    <t>Agroindustria</t>
  </si>
  <si>
    <t>CR-1007</t>
  </si>
  <si>
    <t>Servicios Eta Ltda.</t>
  </si>
  <si>
    <t>Servicios</t>
  </si>
  <si>
    <t>CR-1008</t>
  </si>
  <si>
    <t>Alimentos Theta</t>
  </si>
  <si>
    <t>CR-1009</t>
  </si>
  <si>
    <t>Constructora Iota</t>
  </si>
  <si>
    <t>Construcción</t>
  </si>
  <si>
    <t>CR-1010</t>
  </si>
  <si>
    <t>Farmacéutica Kappa</t>
  </si>
  <si>
    <t>Salud</t>
  </si>
  <si>
    <t>CR-1011</t>
  </si>
  <si>
    <t>Textiles Lambda</t>
  </si>
  <si>
    <t>CR-1012</t>
  </si>
  <si>
    <t>Energías Mu</t>
  </si>
  <si>
    <t>Energía</t>
  </si>
  <si>
    <t>CR-1013</t>
  </si>
  <si>
    <t>Restaurantes Nu</t>
  </si>
  <si>
    <t>Hostelería</t>
  </si>
  <si>
    <t>CR-1014</t>
  </si>
  <si>
    <t>Metalúrgica Xi</t>
  </si>
  <si>
    <t>CR-1015</t>
  </si>
  <si>
    <t>Plásticos Omicron</t>
  </si>
  <si>
    <t>CR-1016</t>
  </si>
  <si>
    <t>Automotriz Pi</t>
  </si>
  <si>
    <t>Automotriz</t>
  </si>
  <si>
    <t>CR-1017</t>
  </si>
  <si>
    <t>Editorial Rho</t>
  </si>
  <si>
    <t>Medios</t>
  </si>
  <si>
    <t>CR-1018</t>
  </si>
  <si>
    <t>Química Sigma</t>
  </si>
  <si>
    <t>Químico</t>
  </si>
  <si>
    <t>CR-1019</t>
  </si>
  <si>
    <t>Telecom Tau</t>
  </si>
  <si>
    <t>Telecomunicaciones</t>
  </si>
  <si>
    <t>CR-1020</t>
  </si>
  <si>
    <t>Minera Upsilon</t>
  </si>
  <si>
    <t>Minería</t>
  </si>
  <si>
    <t>TOTALES / PROMEDIOS</t>
  </si>
  <si>
    <t>custroscientos mil</t>
  </si>
  <si>
    <t>doscientos mil</t>
  </si>
  <si>
    <t>cincuenta mil</t>
  </si>
  <si>
    <t>ID Crédito</t>
  </si>
  <si>
    <t>Cliente / Empresa</t>
  </si>
  <si>
    <t>Sector Industrial</t>
  </si>
  <si>
    <t>Saldo Deudor Actual ($)</t>
  </si>
  <si>
    <t>Línea No Utilizada ($)</t>
  </si>
  <si>
    <t>CCF (%)</t>
  </si>
  <si>
    <t>PD (%)</t>
  </si>
  <si>
    <t>Tasa Recuperación (%)</t>
  </si>
  <si>
    <t>EAD ($) [Fórmula]</t>
  </si>
  <si>
    <t>LGD (%) [Fórmula]</t>
  </si>
  <si>
    <t>EL ($) [Fórmula]</t>
  </si>
  <si>
    <t>EL (%) [Fórmula]</t>
  </si>
  <si>
    <t>seis millones cuatrocientos mil</t>
  </si>
  <si>
    <t>trescientos cincuenta y seis mil</t>
  </si>
  <si>
    <t>CASO PRÁCTICO: CÁLCULO DE PÉRDIDA ESPERADA (EXPECTED LOSS - EL)</t>
  </si>
  <si>
    <t>Licenciatura en Inteligencia Financiera de Negocios | Gestión de Riesgo Crediticio</t>
  </si>
  <si>
    <t>Instrucciones para los alumnos:</t>
  </si>
  <si>
    <t>1. Desarrollar las columnas EAD, LGD, EL ($) y EL (%) utilizando las fórmulas financieras correspondientes en las celdas marcadas en verde.</t>
  </si>
  <si>
    <t>2. Fórmulas claves: EAD = Deuda Actual + (Línea No Utilizada * CCF) | LGD = 1 - Tasa de Recuperación | EL ($) = PD * LGD * EAD | EL (%) = EL ($) / EAD.</t>
  </si>
  <si>
    <t>3. Completar la fila de TOTALES / PROMEDIOS en la fila 28 y responder las preguntas del 'Resumen Ejecutivo'.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</si>
</sst>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8" x14ac:knownFonts="1">
    <font>
      <sz val="11"/>
      <color theme="1"/>
      <name val="Aptos Narrow"/>
      <family val="2"/>
      <scheme val="minor"/>
    </font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color rgb="FF1F497D"/>
      <name val="Calibri"/>
    </font>
    <font>
      <i/>
      <sz val="11"/>
      <color rgb="FF595959"/>
      <name val="Calibri"/>
    </font>
    <font>
      <b/>
      <sz val="11"/>
      <color rgb="FFC00000"/>
      <name val="Calibri"/>
    </font>
    <font>
      <i/>
      <sz val="10"/>
      <color rgb="FF3333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5F9"/>
        <bgColor rgb="FFF2F5F9"/>
      </patternFill>
    </fill>
    <fill>
      <patternFill patternType="solid">
        <fgColor rgb="FF2F5597"/>
        <bgColor rgb="FF2F5597"/>
      </patternFill>
    </fill>
    <fill>
      <patternFill patternType="solid">
        <fgColor rgb="FF385723"/>
        <bgColor rgb="FF385723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right" vertical="center"/>
    </xf>
    <xf numFmtId="10" fontId="1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right" vertical="center"/>
    </xf>
    <xf numFmtId="10" fontId="1" fillId="2" borderId="1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/>
    <xf numFmtId="164" fontId="2" fillId="0" borderId="2" xfId="0" applyNumberFormat="1" applyFont="1" applyBorder="1"/>
    <xf numFmtId="10" fontId="2" fillId="0" borderId="2" xfId="0" applyNumberFormat="1" applyFont="1" applyBorder="1"/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1"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FF625-FEAF-4929-B4BA-2EFEC09294CD}">
  <dimension ref="A1:L53"/>
  <sheetViews>
    <sheetView tabSelected="1" workbookViewId="0">
      <selection activeCell="N8" sqref="N8"/>
    </sheetView>
  </sheetViews>
  <sheetFormatPr baseColWidth="10" defaultRowHeight="14.4" x14ac:dyDescent="0.3"/>
  <sheetData>
    <row r="1" spans="1:12" ht="21" x14ac:dyDescent="0.4">
      <c r="A1" s="15" t="s">
        <v>74</v>
      </c>
    </row>
    <row r="2" spans="1:12" x14ac:dyDescent="0.3">
      <c r="A2" s="16" t="s">
        <v>75</v>
      </c>
    </row>
    <row r="3" spans="1:12" x14ac:dyDescent="0.3">
      <c r="A3" s="17" t="s">
        <v>76</v>
      </c>
    </row>
    <row r="4" spans="1:12" x14ac:dyDescent="0.3">
      <c r="A4" s="18" t="s">
        <v>77</v>
      </c>
    </row>
    <row r="5" spans="1:12" x14ac:dyDescent="0.3">
      <c r="A5" s="18" t="s">
        <v>78</v>
      </c>
    </row>
    <row r="6" spans="1:12" x14ac:dyDescent="0.3">
      <c r="A6" s="18" t="s">
        <v>79</v>
      </c>
    </row>
    <row r="8" spans="1:12" ht="43.2" x14ac:dyDescent="0.3">
      <c r="A8" s="13" t="s">
        <v>60</v>
      </c>
      <c r="B8" s="13" t="s">
        <v>61</v>
      </c>
      <c r="C8" s="13" t="s">
        <v>62</v>
      </c>
      <c r="D8" s="13" t="s">
        <v>63</v>
      </c>
      <c r="E8" s="13" t="s">
        <v>64</v>
      </c>
      <c r="F8" s="13" t="s">
        <v>65</v>
      </c>
      <c r="G8" s="13" t="s">
        <v>66</v>
      </c>
      <c r="H8" s="13" t="s">
        <v>67</v>
      </c>
      <c r="I8" s="14" t="s">
        <v>68</v>
      </c>
      <c r="J8" s="14" t="s">
        <v>69</v>
      </c>
      <c r="K8" s="14" t="s">
        <v>70</v>
      </c>
      <c r="L8" s="14" t="s">
        <v>71</v>
      </c>
    </row>
    <row r="9" spans="1:12" x14ac:dyDescent="0.3">
      <c r="A9" s="1" t="s">
        <v>0</v>
      </c>
      <c r="B9" s="2" t="s">
        <v>1</v>
      </c>
      <c r="C9" s="2" t="s">
        <v>2</v>
      </c>
      <c r="D9" s="3">
        <v>1500000</v>
      </c>
      <c r="E9" s="3">
        <v>500000</v>
      </c>
      <c r="F9" s="4">
        <v>0.4</v>
      </c>
      <c r="G9" s="4">
        <v>2.5000000000000001E-2</v>
      </c>
      <c r="H9" s="4">
        <v>0.55000000000000004</v>
      </c>
      <c r="I9" s="3">
        <f>D9+(E9*F9)</f>
        <v>1700000</v>
      </c>
      <c r="J9" s="4">
        <f t="shared" ref="J9:J28" si="0">1-H9</f>
        <v>0.44999999999999996</v>
      </c>
      <c r="K9" s="3">
        <f t="shared" ref="K9:K10" si="1">G9*J9*I9</f>
        <v>19125</v>
      </c>
      <c r="L9" s="4">
        <f t="shared" ref="L9:L28" si="2">K9/I9</f>
        <v>1.125E-2</v>
      </c>
    </row>
    <row r="10" spans="1:12" x14ac:dyDescent="0.3">
      <c r="A10" s="5" t="s">
        <v>3</v>
      </c>
      <c r="B10" s="6" t="s">
        <v>4</v>
      </c>
      <c r="C10" s="6" t="s">
        <v>5</v>
      </c>
      <c r="D10" s="7">
        <v>450000</v>
      </c>
      <c r="E10" s="7">
        <v>100000</v>
      </c>
      <c r="F10" s="8">
        <v>0.2</v>
      </c>
      <c r="G10" s="8">
        <v>4.8000000000000001E-2</v>
      </c>
      <c r="H10" s="8">
        <v>0.4</v>
      </c>
      <c r="I10" s="7">
        <f t="shared" ref="I10" si="3">D10+(E10*F10)</f>
        <v>470000</v>
      </c>
      <c r="J10" s="8">
        <f t="shared" si="0"/>
        <v>0.6</v>
      </c>
      <c r="K10" s="7">
        <f t="shared" si="1"/>
        <v>13536</v>
      </c>
      <c r="L10" s="8">
        <f t="shared" si="2"/>
        <v>2.8799999999999999E-2</v>
      </c>
    </row>
    <row r="11" spans="1:12" x14ac:dyDescent="0.3">
      <c r="A11" s="1" t="s">
        <v>6</v>
      </c>
      <c r="B11" s="2" t="s">
        <v>7</v>
      </c>
      <c r="C11" s="2" t="s">
        <v>8</v>
      </c>
      <c r="D11" s="3">
        <v>850000</v>
      </c>
      <c r="E11" s="3">
        <v>200000</v>
      </c>
      <c r="F11" s="4">
        <v>0.5</v>
      </c>
      <c r="G11" s="4">
        <v>8.2000000000000003E-2</v>
      </c>
      <c r="H11" s="4">
        <v>0.35</v>
      </c>
      <c r="I11" s="3">
        <f>D11+(E11*F11)</f>
        <v>950000</v>
      </c>
      <c r="J11" s="4">
        <f t="shared" si="0"/>
        <v>0.65</v>
      </c>
      <c r="K11" s="3">
        <f>G11*J11*I11</f>
        <v>50635.000000000007</v>
      </c>
      <c r="L11" s="4">
        <f t="shared" si="2"/>
        <v>5.3300000000000007E-2</v>
      </c>
    </row>
    <row r="12" spans="1:12" x14ac:dyDescent="0.3">
      <c r="A12" s="5" t="s">
        <v>9</v>
      </c>
      <c r="B12" s="6" t="s">
        <v>10</v>
      </c>
      <c r="C12" s="6"/>
      <c r="D12" s="7">
        <v>3200000</v>
      </c>
      <c r="E12" s="7">
        <v>1000000</v>
      </c>
      <c r="F12" s="8">
        <v>0.75</v>
      </c>
      <c r="G12" s="8">
        <v>1.4999999999999999E-2</v>
      </c>
      <c r="H12" s="8">
        <v>0.7</v>
      </c>
      <c r="I12" s="7">
        <f>D12+(E12*F12)</f>
        <v>3950000</v>
      </c>
      <c r="J12" s="8">
        <f t="shared" si="0"/>
        <v>0.30000000000000004</v>
      </c>
      <c r="K12" s="7">
        <f>G12*J12*I12</f>
        <v>17775.000000000004</v>
      </c>
      <c r="L12" s="8">
        <f t="shared" si="2"/>
        <v>4.5000000000000005E-3</v>
      </c>
    </row>
    <row r="13" spans="1:12" x14ac:dyDescent="0.3">
      <c r="A13" s="1" t="s">
        <v>12</v>
      </c>
      <c r="B13" s="2" t="s">
        <v>13</v>
      </c>
      <c r="C13" s="2" t="s">
        <v>14</v>
      </c>
      <c r="D13" s="3">
        <v>600000</v>
      </c>
      <c r="E13" s="3"/>
      <c r="F13" s="4">
        <v>0.3</v>
      </c>
      <c r="G13" s="4">
        <v>6.5000000000000002E-2</v>
      </c>
      <c r="H13" s="4">
        <v>0.25</v>
      </c>
      <c r="I13" s="3">
        <f>D13+(E13*F13)</f>
        <v>600000</v>
      </c>
      <c r="J13" s="4">
        <f t="shared" si="0"/>
        <v>0.75</v>
      </c>
      <c r="K13" s="3">
        <f>G13*J13*I13</f>
        <v>29250</v>
      </c>
      <c r="L13" s="4">
        <f t="shared" si="2"/>
        <v>4.8750000000000002E-2</v>
      </c>
    </row>
    <row r="14" spans="1:12" x14ac:dyDescent="0.3">
      <c r="A14" s="5" t="s">
        <v>15</v>
      </c>
      <c r="B14" s="6" t="s">
        <v>16</v>
      </c>
      <c r="C14" s="6" t="s">
        <v>17</v>
      </c>
      <c r="D14" s="7">
        <v>1100000</v>
      </c>
      <c r="E14" s="7">
        <v>150000</v>
      </c>
      <c r="F14" s="8">
        <v>0.25</v>
      </c>
      <c r="G14" s="8">
        <v>3.7999999999999999E-2</v>
      </c>
      <c r="H14" s="8">
        <v>0.5</v>
      </c>
      <c r="I14" s="7">
        <f>D14+(E14*F14)</f>
        <v>1137500</v>
      </c>
      <c r="J14" s="8">
        <f t="shared" si="0"/>
        <v>0.5</v>
      </c>
      <c r="K14" s="7">
        <f>G14*J14*I14</f>
        <v>21612.5</v>
      </c>
      <c r="L14" s="8">
        <f t="shared" si="2"/>
        <v>1.9E-2</v>
      </c>
    </row>
    <row r="15" spans="1:12" x14ac:dyDescent="0.3">
      <c r="A15" s="1"/>
      <c r="B15" s="2" t="s">
        <v>19</v>
      </c>
      <c r="C15" s="2" t="s">
        <v>20</v>
      </c>
      <c r="D15" s="3">
        <v>280000</v>
      </c>
      <c r="E15" s="3">
        <v>50000</v>
      </c>
      <c r="F15" s="4">
        <v>0.15</v>
      </c>
      <c r="G15" s="4">
        <v>9.5000000000000001E-2</v>
      </c>
      <c r="H15" s="4">
        <v>0.3</v>
      </c>
      <c r="I15" s="3">
        <f>D15+(E15*F15)</f>
        <v>287500</v>
      </c>
      <c r="J15" s="4"/>
      <c r="K15" s="3">
        <f>G15*J15*I15</f>
        <v>0</v>
      </c>
      <c r="L15" s="4">
        <f t="shared" si="2"/>
        <v>0</v>
      </c>
    </row>
    <row r="16" spans="1:12" x14ac:dyDescent="0.3">
      <c r="A16" s="5" t="s">
        <v>21</v>
      </c>
      <c r="B16" s="6" t="s">
        <v>22</v>
      </c>
      <c r="C16" s="6" t="s">
        <v>2</v>
      </c>
      <c r="D16" s="7">
        <v>950000</v>
      </c>
      <c r="E16" s="7">
        <v>200000</v>
      </c>
      <c r="F16" s="8">
        <v>0.4</v>
      </c>
      <c r="G16" s="8">
        <v>1.7999999999999999E-2</v>
      </c>
      <c r="H16" s="8">
        <v>0.65</v>
      </c>
      <c r="I16" s="7">
        <f>D16+(E16*F16)</f>
        <v>1030000</v>
      </c>
      <c r="J16" s="8">
        <f t="shared" si="0"/>
        <v>0.35</v>
      </c>
      <c r="K16" s="7">
        <f>G16*J16*I16</f>
        <v>6488.9999999999991</v>
      </c>
      <c r="L16" s="8">
        <f t="shared" si="2"/>
        <v>6.2999999999999992E-3</v>
      </c>
    </row>
    <row r="17" spans="1:12" x14ac:dyDescent="0.3">
      <c r="A17" s="1" t="s">
        <v>23</v>
      </c>
      <c r="B17" s="2" t="s">
        <v>24</v>
      </c>
      <c r="C17" s="2" t="s">
        <v>25</v>
      </c>
      <c r="D17" s="3">
        <v>2400000</v>
      </c>
      <c r="E17" s="3">
        <v>800000</v>
      </c>
      <c r="F17" s="4">
        <v>0.6</v>
      </c>
      <c r="G17" s="4">
        <v>0.11</v>
      </c>
      <c r="H17" s="4">
        <v>0.45</v>
      </c>
      <c r="I17" s="3">
        <f>D17+(E17*F17)</f>
        <v>2880000</v>
      </c>
      <c r="J17" s="4">
        <f t="shared" si="0"/>
        <v>0.55000000000000004</v>
      </c>
      <c r="K17" s="3">
        <f>G17*J17*I17</f>
        <v>174240.00000000003</v>
      </c>
      <c r="L17" s="4">
        <f t="shared" si="2"/>
        <v>6.0500000000000012E-2</v>
      </c>
    </row>
    <row r="18" spans="1:12" x14ac:dyDescent="0.3">
      <c r="A18" s="5"/>
      <c r="B18" s="6" t="s">
        <v>27</v>
      </c>
      <c r="C18" s="6" t="s">
        <v>28</v>
      </c>
      <c r="D18" s="7">
        <v>1800000</v>
      </c>
      <c r="E18" s="7" t="s">
        <v>57</v>
      </c>
      <c r="F18" s="8">
        <v>0.3</v>
      </c>
      <c r="G18" s="8">
        <v>8.9999999999999993E-3</v>
      </c>
      <c r="H18" s="8">
        <v>0.75</v>
      </c>
      <c r="I18" s="7" t="e">
        <f>D18+(E18*F18)</f>
        <v>#VALUE!</v>
      </c>
      <c r="J18" s="8">
        <f t="shared" si="0"/>
        <v>0.25</v>
      </c>
      <c r="K18" s="7" t="e">
        <f>G18*J18*I18</f>
        <v>#VALUE!</v>
      </c>
      <c r="L18" s="8" t="e">
        <f t="shared" si="2"/>
        <v>#VALUE!</v>
      </c>
    </row>
    <row r="19" spans="1:12" x14ac:dyDescent="0.3">
      <c r="A19" s="1" t="s">
        <v>29</v>
      </c>
      <c r="B19" s="2" t="s">
        <v>30</v>
      </c>
      <c r="C19" s="2" t="s">
        <v>5</v>
      </c>
      <c r="D19" s="3">
        <v>520000</v>
      </c>
      <c r="E19" s="3">
        <v>120000</v>
      </c>
      <c r="F19" s="4"/>
      <c r="G19" s="4">
        <v>7.3999999999999996E-2</v>
      </c>
      <c r="H19" s="4">
        <v>0.35</v>
      </c>
      <c r="I19" s="3">
        <f>D19+(E19*F19)</f>
        <v>520000</v>
      </c>
      <c r="J19" s="4">
        <f t="shared" si="0"/>
        <v>0.65</v>
      </c>
      <c r="K19" s="3">
        <f>G19*J19*I19</f>
        <v>25012</v>
      </c>
      <c r="L19" s="4">
        <f t="shared" si="2"/>
        <v>4.8099999999999997E-2</v>
      </c>
    </row>
    <row r="20" spans="1:12" x14ac:dyDescent="0.3">
      <c r="A20" s="5" t="s">
        <v>31</v>
      </c>
      <c r="B20" s="6" t="s">
        <v>32</v>
      </c>
      <c r="C20" s="6" t="s">
        <v>33</v>
      </c>
      <c r="D20" s="7">
        <v>4500000</v>
      </c>
      <c r="E20" s="7">
        <v>1500000</v>
      </c>
      <c r="F20" s="8">
        <v>0.8</v>
      </c>
      <c r="G20" s="8">
        <v>1.2E-2</v>
      </c>
      <c r="H20" s="8">
        <v>0.8</v>
      </c>
      <c r="I20" s="7">
        <f>D20+(E20*F20)</f>
        <v>5700000</v>
      </c>
      <c r="J20" s="8">
        <f t="shared" si="0"/>
        <v>0.19999999999999996</v>
      </c>
      <c r="K20" s="7">
        <f>G20*J20*I20</f>
        <v>13679.999999999996</v>
      </c>
      <c r="L20" s="8">
        <f t="shared" si="2"/>
        <v>2.3999999999999994E-3</v>
      </c>
    </row>
    <row r="21" spans="1:12" x14ac:dyDescent="0.3">
      <c r="A21" s="1" t="s">
        <v>34</v>
      </c>
      <c r="B21" s="2" t="s">
        <v>35</v>
      </c>
      <c r="C21" s="2" t="s">
        <v>36</v>
      </c>
      <c r="D21" s="3">
        <v>340000</v>
      </c>
      <c r="E21" s="3">
        <v>80000</v>
      </c>
      <c r="F21" s="4">
        <v>0.2</v>
      </c>
      <c r="G21" s="4">
        <v>0.125</v>
      </c>
      <c r="H21" s="4">
        <v>0.2</v>
      </c>
      <c r="I21" s="3"/>
      <c r="J21" s="4">
        <f t="shared" si="0"/>
        <v>0.8</v>
      </c>
      <c r="K21" s="3">
        <f>G21*J21*I21</f>
        <v>0</v>
      </c>
      <c r="L21" s="4" t="e">
        <f t="shared" si="2"/>
        <v>#DIV/0!</v>
      </c>
    </row>
    <row r="22" spans="1:12" x14ac:dyDescent="0.3">
      <c r="A22" s="5" t="s">
        <v>37</v>
      </c>
      <c r="B22" s="6" t="s">
        <v>38</v>
      </c>
      <c r="C22" s="6" t="s">
        <v>2</v>
      </c>
      <c r="D22" s="7">
        <v>1300000</v>
      </c>
      <c r="E22" s="7">
        <v>300000</v>
      </c>
      <c r="F22" s="8">
        <v>0.5</v>
      </c>
      <c r="G22" s="8">
        <v>3.2000000000000001E-2</v>
      </c>
      <c r="H22" s="8">
        <v>0.5</v>
      </c>
      <c r="I22" s="7">
        <f>D22+(E22*F22)</f>
        <v>1450000</v>
      </c>
      <c r="J22" s="8">
        <f t="shared" si="0"/>
        <v>0.5</v>
      </c>
      <c r="K22" s="7">
        <f>G22*J22*I22</f>
        <v>23200</v>
      </c>
      <c r="L22" s="8">
        <f t="shared" si="2"/>
        <v>1.6E-2</v>
      </c>
    </row>
    <row r="23" spans="1:12" x14ac:dyDescent="0.3">
      <c r="A23" s="1" t="s">
        <v>39</v>
      </c>
      <c r="B23" s="2" t="s">
        <v>40</v>
      </c>
      <c r="C23" s="2" t="s">
        <v>2</v>
      </c>
      <c r="D23" s="3">
        <v>780000</v>
      </c>
      <c r="E23" s="3">
        <v>150000</v>
      </c>
      <c r="F23" s="4">
        <v>0.35</v>
      </c>
      <c r="G23" s="4">
        <v>5.5E-2</v>
      </c>
      <c r="H23" s="4">
        <v>0.4</v>
      </c>
      <c r="I23" s="3">
        <f>D23+(E23*F23)</f>
        <v>832500</v>
      </c>
      <c r="J23" s="4">
        <f t="shared" si="0"/>
        <v>0.6</v>
      </c>
      <c r="K23" s="3">
        <f>G23*J23*I23</f>
        <v>27472.5</v>
      </c>
      <c r="L23" s="4">
        <f t="shared" si="2"/>
        <v>3.3000000000000002E-2</v>
      </c>
    </row>
    <row r="24" spans="1:12" x14ac:dyDescent="0.3">
      <c r="A24" s="5"/>
      <c r="B24" s="6" t="s">
        <v>42</v>
      </c>
      <c r="C24" s="6"/>
      <c r="D24" s="7">
        <v>2100000</v>
      </c>
      <c r="E24" s="7">
        <v>500000</v>
      </c>
      <c r="F24" s="8">
        <v>0.45</v>
      </c>
      <c r="G24" s="8">
        <v>2.8000000000000001E-2</v>
      </c>
      <c r="H24" s="8">
        <v>0.6</v>
      </c>
      <c r="I24" s="7">
        <f>D24+(E24*F24)</f>
        <v>2325000</v>
      </c>
      <c r="J24" s="8">
        <f t="shared" si="0"/>
        <v>0.4</v>
      </c>
      <c r="K24" s="7">
        <f>G24*J24*I24</f>
        <v>26040.000000000004</v>
      </c>
      <c r="L24" s="8">
        <f t="shared" si="2"/>
        <v>1.1200000000000002E-2</v>
      </c>
    </row>
    <row r="25" spans="1:12" x14ac:dyDescent="0.3">
      <c r="A25" s="1" t="s">
        <v>44</v>
      </c>
      <c r="B25" s="2" t="s">
        <v>45</v>
      </c>
      <c r="C25" s="2" t="s">
        <v>46</v>
      </c>
      <c r="D25" s="3">
        <v>190000</v>
      </c>
      <c r="E25" s="3" t="s">
        <v>58</v>
      </c>
      <c r="F25" s="4">
        <v>0.1</v>
      </c>
      <c r="G25" s="4">
        <v>8.7999999999999995E-2</v>
      </c>
      <c r="H25" s="4">
        <v>0.3</v>
      </c>
      <c r="I25" s="3" t="e">
        <f>D25+(E25*F25)</f>
        <v>#VALUE!</v>
      </c>
      <c r="J25" s="4"/>
      <c r="K25" s="3" t="e">
        <f>G25*J25*I25</f>
        <v>#VALUE!</v>
      </c>
      <c r="L25" s="4" t="e">
        <f t="shared" si="2"/>
        <v>#VALUE!</v>
      </c>
    </row>
    <row r="26" spans="1:12" x14ac:dyDescent="0.3">
      <c r="A26" s="5" t="s">
        <v>47</v>
      </c>
      <c r="B26" s="6" t="s">
        <v>48</v>
      </c>
      <c r="C26" s="6" t="s">
        <v>49</v>
      </c>
      <c r="D26" s="7">
        <v>1650000</v>
      </c>
      <c r="E26" s="7">
        <v>350000</v>
      </c>
      <c r="F26" s="8">
        <v>0.4</v>
      </c>
      <c r="G26" s="8">
        <v>2.1000000000000001E-2</v>
      </c>
      <c r="H26" s="8">
        <v>0.6</v>
      </c>
      <c r="I26" s="7">
        <f>D26+(E26*F26)</f>
        <v>1790000</v>
      </c>
      <c r="J26" s="8">
        <f t="shared" si="0"/>
        <v>0.4</v>
      </c>
      <c r="K26" s="7">
        <f>G26*J26*I26</f>
        <v>15036.000000000002</v>
      </c>
      <c r="L26" s="8">
        <f t="shared" si="2"/>
        <v>8.4000000000000012E-3</v>
      </c>
    </row>
    <row r="27" spans="1:12" x14ac:dyDescent="0.3">
      <c r="A27" s="1"/>
      <c r="B27" s="2" t="s">
        <v>51</v>
      </c>
      <c r="C27" s="2" t="s">
        <v>52</v>
      </c>
      <c r="D27" s="3">
        <v>2900000</v>
      </c>
      <c r="E27" s="3">
        <v>600000</v>
      </c>
      <c r="F27" s="4">
        <v>0.5</v>
      </c>
      <c r="G27" s="4">
        <v>1.7000000000000001E-2</v>
      </c>
      <c r="H27" s="4">
        <v>0.65</v>
      </c>
      <c r="I27" s="3">
        <f>D27+(E27*F27)</f>
        <v>3200000</v>
      </c>
      <c r="J27" s="4">
        <f t="shared" si="0"/>
        <v>0.35</v>
      </c>
      <c r="K27" s="3">
        <f>G27*J27*I27</f>
        <v>19040</v>
      </c>
      <c r="L27" s="4">
        <f t="shared" si="2"/>
        <v>5.9500000000000004E-3</v>
      </c>
    </row>
    <row r="28" spans="1:12" x14ac:dyDescent="0.3">
      <c r="A28" s="5" t="s">
        <v>53</v>
      </c>
      <c r="B28" s="6" t="s">
        <v>54</v>
      </c>
      <c r="C28" s="6" t="s">
        <v>55</v>
      </c>
      <c r="D28" s="7">
        <v>5000000</v>
      </c>
      <c r="E28" s="7">
        <v>2000000</v>
      </c>
      <c r="F28" s="8">
        <v>0.7</v>
      </c>
      <c r="G28" s="8"/>
      <c r="H28" s="8">
        <v>0.5</v>
      </c>
      <c r="I28" s="7" t="s">
        <v>72</v>
      </c>
      <c r="J28" s="8">
        <f t="shared" si="0"/>
        <v>0.5</v>
      </c>
      <c r="K28" s="7" t="e">
        <f>G28*J28*I28</f>
        <v>#VALUE!</v>
      </c>
      <c r="L28" s="8" t="e">
        <f t="shared" si="2"/>
        <v>#VALUE!</v>
      </c>
    </row>
    <row r="29" spans="1:12" x14ac:dyDescent="0.3">
      <c r="A29" s="1" t="s">
        <v>0</v>
      </c>
      <c r="B29" s="2" t="s">
        <v>1</v>
      </c>
      <c r="C29" s="2" t="s">
        <v>2</v>
      </c>
      <c r="D29" s="3">
        <v>1500000</v>
      </c>
      <c r="E29" s="3">
        <v>500000</v>
      </c>
      <c r="F29" s="4">
        <v>0.4</v>
      </c>
      <c r="G29" s="4">
        <v>2.5000000000000001E-2</v>
      </c>
      <c r="H29" s="4">
        <v>0.55000000000000004</v>
      </c>
      <c r="I29" s="3">
        <f>D29+(E29*F29)</f>
        <v>1700000</v>
      </c>
      <c r="J29" s="4">
        <f t="shared" ref="J29:J51" si="4">1-H29</f>
        <v>0.44999999999999996</v>
      </c>
      <c r="K29" s="3">
        <f t="shared" ref="K29:K30" si="5">G29*J29*I29</f>
        <v>19125</v>
      </c>
      <c r="L29" s="4">
        <f t="shared" ref="L29:L51" si="6">K29/I29</f>
        <v>1.125E-2</v>
      </c>
    </row>
    <row r="30" spans="1:12" x14ac:dyDescent="0.3">
      <c r="A30" s="5" t="s">
        <v>3</v>
      </c>
      <c r="B30" s="6" t="s">
        <v>4</v>
      </c>
      <c r="C30" s="6"/>
      <c r="D30" s="7">
        <v>450000</v>
      </c>
      <c r="E30" s="7"/>
      <c r="F30" s="8">
        <v>0.2</v>
      </c>
      <c r="G30" s="8">
        <v>4.8000000000000001E-2</v>
      </c>
      <c r="H30" s="8"/>
      <c r="I30" s="7">
        <f t="shared" ref="I30" si="7">D30+(E30*F30)</f>
        <v>450000</v>
      </c>
      <c r="J30" s="8">
        <f t="shared" si="4"/>
        <v>1</v>
      </c>
      <c r="K30" s="7">
        <f t="shared" si="5"/>
        <v>21600</v>
      </c>
      <c r="L30" s="8">
        <f t="shared" si="6"/>
        <v>4.8000000000000001E-2</v>
      </c>
    </row>
    <row r="31" spans="1:12" x14ac:dyDescent="0.3">
      <c r="A31" s="1" t="s">
        <v>6</v>
      </c>
      <c r="B31" s="2" t="s">
        <v>7</v>
      </c>
      <c r="C31" s="2" t="s">
        <v>8</v>
      </c>
      <c r="D31" s="3">
        <v>850000</v>
      </c>
      <c r="E31" s="3">
        <v>200000</v>
      </c>
      <c r="F31" s="4">
        <v>0.5</v>
      </c>
      <c r="G31" s="4">
        <v>8.2000000000000003E-2</v>
      </c>
      <c r="H31" s="4">
        <v>0.35</v>
      </c>
      <c r="I31" s="3">
        <f>D31+(E31*F31)</f>
        <v>950000</v>
      </c>
      <c r="J31" s="4">
        <f t="shared" si="4"/>
        <v>0.65</v>
      </c>
      <c r="K31" s="3">
        <f>G31*J31*I31</f>
        <v>50635.000000000007</v>
      </c>
      <c r="L31" s="4">
        <f t="shared" si="6"/>
        <v>5.3300000000000007E-2</v>
      </c>
    </row>
    <row r="32" spans="1:12" x14ac:dyDescent="0.3">
      <c r="A32" s="5" t="s">
        <v>9</v>
      </c>
      <c r="B32" s="6" t="s">
        <v>10</v>
      </c>
      <c r="C32" s="6" t="s">
        <v>11</v>
      </c>
      <c r="D32" s="7">
        <v>3200000</v>
      </c>
      <c r="E32" s="7">
        <v>1000000</v>
      </c>
      <c r="F32" s="8">
        <v>0.75</v>
      </c>
      <c r="G32" s="8">
        <v>1.4999999999999999E-2</v>
      </c>
      <c r="H32" s="8">
        <v>0.7</v>
      </c>
      <c r="I32" s="7">
        <f>D32+(E32*F32)</f>
        <v>3950000</v>
      </c>
      <c r="J32" s="8"/>
      <c r="K32" s="7">
        <f>G32*J32*I32</f>
        <v>0</v>
      </c>
      <c r="L32" s="8">
        <f t="shared" si="6"/>
        <v>0</v>
      </c>
    </row>
    <row r="33" spans="1:12" x14ac:dyDescent="0.3">
      <c r="A33" s="1" t="s">
        <v>12</v>
      </c>
      <c r="B33" s="2" t="s">
        <v>13</v>
      </c>
      <c r="C33" s="2" t="s">
        <v>14</v>
      </c>
      <c r="D33" s="3">
        <v>600000</v>
      </c>
      <c r="E33" s="3">
        <v>300000</v>
      </c>
      <c r="F33" s="4">
        <v>0.3</v>
      </c>
      <c r="G33" s="4">
        <v>6.5000000000000002E-2</v>
      </c>
      <c r="H33" s="4">
        <v>0.25</v>
      </c>
      <c r="I33" s="3">
        <f>D33+(E33*F33)</f>
        <v>690000</v>
      </c>
      <c r="J33" s="4">
        <f t="shared" si="4"/>
        <v>0.75</v>
      </c>
      <c r="K33" s="3">
        <f>G33*J33*I33</f>
        <v>33637.5</v>
      </c>
      <c r="L33" s="4">
        <f t="shared" si="6"/>
        <v>4.8750000000000002E-2</v>
      </c>
    </row>
    <row r="34" spans="1:12" x14ac:dyDescent="0.3">
      <c r="A34" s="5" t="s">
        <v>15</v>
      </c>
      <c r="B34" s="6" t="s">
        <v>16</v>
      </c>
      <c r="C34" s="6" t="s">
        <v>17</v>
      </c>
      <c r="D34" s="7">
        <v>1100000</v>
      </c>
      <c r="E34" s="7">
        <v>150000</v>
      </c>
      <c r="F34" s="8">
        <v>0.25</v>
      </c>
      <c r="G34" s="8"/>
      <c r="H34" s="8">
        <v>0.5</v>
      </c>
      <c r="I34" s="7">
        <f>D34+(E34*F34)</f>
        <v>1137500</v>
      </c>
      <c r="J34" s="8">
        <f t="shared" si="4"/>
        <v>0.5</v>
      </c>
      <c r="K34" s="7">
        <f>G34*J34*I34</f>
        <v>0</v>
      </c>
      <c r="L34" s="8">
        <f t="shared" si="6"/>
        <v>0</v>
      </c>
    </row>
    <row r="35" spans="1:12" x14ac:dyDescent="0.3">
      <c r="A35" s="1" t="s">
        <v>18</v>
      </c>
      <c r="B35" s="2" t="s">
        <v>19</v>
      </c>
      <c r="C35" s="2" t="s">
        <v>20</v>
      </c>
      <c r="D35" s="3">
        <v>280000</v>
      </c>
      <c r="E35" s="3" t="s">
        <v>59</v>
      </c>
      <c r="F35" s="4">
        <v>0.15</v>
      </c>
      <c r="G35" s="4">
        <v>9.5000000000000001E-2</v>
      </c>
      <c r="H35" s="4">
        <v>0.3</v>
      </c>
      <c r="I35" s="3" t="e">
        <f>D35+(E35*F35)</f>
        <v>#VALUE!</v>
      </c>
      <c r="J35" s="4">
        <f t="shared" si="4"/>
        <v>0.7</v>
      </c>
      <c r="K35" s="3" t="e">
        <f>G35*J35*I35</f>
        <v>#VALUE!</v>
      </c>
      <c r="L35" s="4" t="e">
        <f t="shared" si="6"/>
        <v>#VALUE!</v>
      </c>
    </row>
    <row r="36" spans="1:12" x14ac:dyDescent="0.3">
      <c r="A36" s="5" t="s">
        <v>21</v>
      </c>
      <c r="B36" s="6" t="s">
        <v>22</v>
      </c>
      <c r="C36" s="6"/>
      <c r="D36" s="7">
        <v>950000</v>
      </c>
      <c r="E36" s="7">
        <v>200000</v>
      </c>
      <c r="F36" s="8">
        <v>0.4</v>
      </c>
      <c r="G36" s="8">
        <v>1.7999999999999999E-2</v>
      </c>
      <c r="H36" s="8">
        <v>0.65</v>
      </c>
      <c r="I36" s="7">
        <f>D36+(E36*F36)</f>
        <v>1030000</v>
      </c>
      <c r="J36" s="8">
        <f t="shared" si="4"/>
        <v>0.35</v>
      </c>
      <c r="K36" s="7">
        <f>G36*J36*I36</f>
        <v>6488.9999999999991</v>
      </c>
      <c r="L36" s="8">
        <f t="shared" si="6"/>
        <v>6.2999999999999992E-3</v>
      </c>
    </row>
    <row r="37" spans="1:12" x14ac:dyDescent="0.3">
      <c r="A37" s="1" t="s">
        <v>23</v>
      </c>
      <c r="B37" s="2" t="s">
        <v>24</v>
      </c>
      <c r="C37" s="2" t="s">
        <v>25</v>
      </c>
      <c r="D37" s="3">
        <v>2400000</v>
      </c>
      <c r="E37" s="3">
        <v>800000</v>
      </c>
      <c r="F37" s="4">
        <v>0.6</v>
      </c>
      <c r="G37" s="4"/>
      <c r="H37" s="4">
        <v>0.45</v>
      </c>
      <c r="I37" s="3"/>
      <c r="J37" s="4">
        <f t="shared" si="4"/>
        <v>0.55000000000000004</v>
      </c>
      <c r="K37" s="3">
        <f>G37*J37*I37</f>
        <v>0</v>
      </c>
      <c r="L37" s="4" t="e">
        <f t="shared" si="6"/>
        <v>#DIV/0!</v>
      </c>
    </row>
    <row r="38" spans="1:12" x14ac:dyDescent="0.3">
      <c r="A38" s="5" t="s">
        <v>26</v>
      </c>
      <c r="B38" s="6" t="s">
        <v>27</v>
      </c>
      <c r="C38" s="6" t="s">
        <v>28</v>
      </c>
      <c r="D38" s="7">
        <v>1800000</v>
      </c>
      <c r="E38" s="7">
        <v>400000</v>
      </c>
      <c r="F38" s="8">
        <v>0.3</v>
      </c>
      <c r="G38" s="8">
        <v>8.9999999999999993E-3</v>
      </c>
      <c r="H38" s="8">
        <v>0.75</v>
      </c>
      <c r="I38" s="7">
        <f>D38+(E38*F38)</f>
        <v>1920000</v>
      </c>
      <c r="J38" s="8">
        <f t="shared" si="4"/>
        <v>0.25</v>
      </c>
      <c r="K38" s="7">
        <f>G38*J38*I38</f>
        <v>4320</v>
      </c>
      <c r="L38" s="8">
        <f t="shared" si="6"/>
        <v>2.2499999999999998E-3</v>
      </c>
    </row>
    <row r="39" spans="1:12" x14ac:dyDescent="0.3">
      <c r="A39" s="1"/>
      <c r="B39" s="2" t="s">
        <v>30</v>
      </c>
      <c r="C39" s="2" t="s">
        <v>5</v>
      </c>
      <c r="D39" s="3">
        <v>520000</v>
      </c>
      <c r="E39" s="3">
        <v>120000</v>
      </c>
      <c r="F39" s="4">
        <v>0.25</v>
      </c>
      <c r="G39" s="4">
        <v>7.3999999999999996E-2</v>
      </c>
      <c r="H39" s="4">
        <v>0.35</v>
      </c>
      <c r="I39" s="3">
        <f>D39+(E39*F39)</f>
        <v>550000</v>
      </c>
      <c r="J39" s="4">
        <f t="shared" si="4"/>
        <v>0.65</v>
      </c>
      <c r="K39" s="3">
        <f>G39*J39*I39</f>
        <v>26455</v>
      </c>
      <c r="L39" s="4">
        <f t="shared" si="6"/>
        <v>4.8099999999999997E-2</v>
      </c>
    </row>
    <row r="40" spans="1:12" x14ac:dyDescent="0.3">
      <c r="A40" s="5" t="s">
        <v>31</v>
      </c>
      <c r="B40" s="6" t="s">
        <v>32</v>
      </c>
      <c r="C40" s="6" t="s">
        <v>33</v>
      </c>
      <c r="D40" s="7">
        <v>4500000</v>
      </c>
      <c r="E40" s="7">
        <v>1500000</v>
      </c>
      <c r="F40" s="8">
        <v>0.8</v>
      </c>
      <c r="G40" s="8">
        <v>1.2E-2</v>
      </c>
      <c r="H40" s="8">
        <v>0.8</v>
      </c>
      <c r="I40" s="7">
        <f>D40+(E40*F40)</f>
        <v>5700000</v>
      </c>
      <c r="J40" s="8">
        <f t="shared" si="4"/>
        <v>0.19999999999999996</v>
      </c>
      <c r="K40" s="7">
        <f>G40*J40*I40</f>
        <v>13679.999999999996</v>
      </c>
      <c r="L40" s="8">
        <f t="shared" si="6"/>
        <v>2.3999999999999994E-3</v>
      </c>
    </row>
    <row r="41" spans="1:12" x14ac:dyDescent="0.3">
      <c r="A41" s="1" t="s">
        <v>34</v>
      </c>
      <c r="B41" s="2" t="s">
        <v>35</v>
      </c>
      <c r="C41" s="2" t="s">
        <v>36</v>
      </c>
      <c r="D41" s="3">
        <v>340000</v>
      </c>
      <c r="E41" s="3">
        <v>80000</v>
      </c>
      <c r="F41" s="4">
        <v>0.2</v>
      </c>
      <c r="G41" s="4">
        <v>0.125</v>
      </c>
      <c r="H41" s="4">
        <v>0.2</v>
      </c>
      <c r="I41" s="3" t="s">
        <v>73</v>
      </c>
      <c r="J41" s="4">
        <f t="shared" si="4"/>
        <v>0.8</v>
      </c>
      <c r="K41" s="3" t="e">
        <f>G41*J41*I41</f>
        <v>#VALUE!</v>
      </c>
      <c r="L41" s="4" t="e">
        <f t="shared" si="6"/>
        <v>#VALUE!</v>
      </c>
    </row>
    <row r="42" spans="1:12" x14ac:dyDescent="0.3">
      <c r="A42" s="5" t="s">
        <v>37</v>
      </c>
      <c r="B42" s="6" t="s">
        <v>38</v>
      </c>
      <c r="C42" s="6"/>
      <c r="D42" s="7">
        <v>1300000</v>
      </c>
      <c r="E42" s="7">
        <v>300000</v>
      </c>
      <c r="F42" s="8">
        <v>0.5</v>
      </c>
      <c r="G42" s="8">
        <v>3.2000000000000001E-2</v>
      </c>
      <c r="H42" s="8">
        <v>0.5</v>
      </c>
      <c r="I42" s="7">
        <f>D42+(E42*F42)</f>
        <v>1450000</v>
      </c>
      <c r="J42" s="8">
        <f t="shared" si="4"/>
        <v>0.5</v>
      </c>
      <c r="K42" s="7">
        <f>G42*J42*I42</f>
        <v>23200</v>
      </c>
      <c r="L42" s="8">
        <f t="shared" si="6"/>
        <v>1.6E-2</v>
      </c>
    </row>
    <row r="43" spans="1:12" x14ac:dyDescent="0.3">
      <c r="A43" s="1" t="s">
        <v>39</v>
      </c>
      <c r="B43" s="2" t="s">
        <v>40</v>
      </c>
      <c r="C43" s="2" t="s">
        <v>2</v>
      </c>
      <c r="D43" s="3">
        <v>780000</v>
      </c>
      <c r="E43" s="3">
        <v>150000</v>
      </c>
      <c r="F43" s="4">
        <v>0.35</v>
      </c>
      <c r="G43" s="4">
        <v>5.5E-2</v>
      </c>
      <c r="H43" s="4">
        <v>0.4</v>
      </c>
      <c r="I43" s="3"/>
      <c r="J43" s="4">
        <f t="shared" si="4"/>
        <v>0.6</v>
      </c>
      <c r="K43" s="3">
        <f>G43*J43*I43</f>
        <v>0</v>
      </c>
      <c r="L43" s="4" t="e">
        <f t="shared" si="6"/>
        <v>#DIV/0!</v>
      </c>
    </row>
    <row r="44" spans="1:12" x14ac:dyDescent="0.3">
      <c r="A44" s="5" t="s">
        <v>41</v>
      </c>
      <c r="B44" s="6" t="s">
        <v>42</v>
      </c>
      <c r="C44" s="6" t="s">
        <v>43</v>
      </c>
      <c r="D44" s="7">
        <v>2100000</v>
      </c>
      <c r="E44" s="7">
        <v>500000</v>
      </c>
      <c r="F44" s="8">
        <v>0.45</v>
      </c>
      <c r="G44" s="8">
        <v>2.8000000000000001E-2</v>
      </c>
      <c r="H44" s="8">
        <v>0.6</v>
      </c>
      <c r="I44" s="7">
        <f>D44+(E44*F44)</f>
        <v>2325000</v>
      </c>
      <c r="J44" s="8">
        <f t="shared" si="4"/>
        <v>0.4</v>
      </c>
      <c r="K44" s="7">
        <f>G44*J44*I44</f>
        <v>26040.000000000004</v>
      </c>
      <c r="L44" s="8">
        <f t="shared" si="6"/>
        <v>1.1200000000000002E-2</v>
      </c>
    </row>
    <row r="45" spans="1:12" x14ac:dyDescent="0.3">
      <c r="A45" s="1" t="s">
        <v>44</v>
      </c>
      <c r="B45" s="2" t="s">
        <v>45</v>
      </c>
      <c r="C45" s="2" t="s">
        <v>46</v>
      </c>
      <c r="D45" s="3">
        <v>190000</v>
      </c>
      <c r="E45" s="3">
        <v>40000</v>
      </c>
      <c r="F45" s="4">
        <v>0.1</v>
      </c>
      <c r="G45" s="4">
        <v>8.7999999999999995E-2</v>
      </c>
      <c r="H45" s="4">
        <v>0.3</v>
      </c>
      <c r="I45" s="3">
        <f>D45+(E45*F45)</f>
        <v>194000</v>
      </c>
      <c r="J45" s="4">
        <f t="shared" si="4"/>
        <v>0.7</v>
      </c>
      <c r="K45" s="3">
        <f>G45*J45*I45</f>
        <v>11950.4</v>
      </c>
      <c r="L45" s="4">
        <f t="shared" si="6"/>
        <v>6.1599999999999995E-2</v>
      </c>
    </row>
    <row r="46" spans="1:12" x14ac:dyDescent="0.3">
      <c r="A46" s="5" t="s">
        <v>47</v>
      </c>
      <c r="B46" s="6" t="s">
        <v>48</v>
      </c>
      <c r="C46" s="6" t="s">
        <v>49</v>
      </c>
      <c r="D46" s="7">
        <v>1650000</v>
      </c>
      <c r="E46" s="7">
        <v>350000</v>
      </c>
      <c r="F46" s="8">
        <v>0.4</v>
      </c>
      <c r="G46" s="8"/>
      <c r="H46" s="8">
        <v>0.6</v>
      </c>
      <c r="I46" s="7">
        <f>D46+(E46*F46)</f>
        <v>1790000</v>
      </c>
      <c r="J46" s="8">
        <f t="shared" si="4"/>
        <v>0.4</v>
      </c>
      <c r="K46" s="7">
        <f>G46*J46*I46</f>
        <v>0</v>
      </c>
      <c r="L46" s="8">
        <f t="shared" si="6"/>
        <v>0</v>
      </c>
    </row>
    <row r="47" spans="1:12" x14ac:dyDescent="0.3">
      <c r="A47" s="1" t="s">
        <v>50</v>
      </c>
      <c r="B47" s="2" t="s">
        <v>51</v>
      </c>
      <c r="C47" s="2" t="s">
        <v>52</v>
      </c>
      <c r="D47" s="3">
        <v>2900000</v>
      </c>
      <c r="E47" s="3">
        <v>600000</v>
      </c>
      <c r="F47" s="4">
        <v>0.5</v>
      </c>
      <c r="G47" s="4">
        <v>1.7000000000000001E-2</v>
      </c>
      <c r="H47" s="4">
        <v>0.65</v>
      </c>
      <c r="I47" s="3">
        <f>D47+(E47*F47)</f>
        <v>3200000</v>
      </c>
      <c r="J47" s="4">
        <f t="shared" si="4"/>
        <v>0.35</v>
      </c>
      <c r="K47" s="3">
        <f>G47*J47*I47</f>
        <v>19040</v>
      </c>
      <c r="L47" s="4">
        <f t="shared" si="6"/>
        <v>5.9500000000000004E-3</v>
      </c>
    </row>
    <row r="48" spans="1:12" x14ac:dyDescent="0.3">
      <c r="A48" s="5" t="s">
        <v>53</v>
      </c>
      <c r="B48" s="6" t="s">
        <v>54</v>
      </c>
      <c r="C48" s="6" t="s">
        <v>55</v>
      </c>
      <c r="D48" s="7">
        <v>5000000</v>
      </c>
      <c r="E48" s="7">
        <v>2000000</v>
      </c>
      <c r="F48" s="8">
        <v>0.7</v>
      </c>
      <c r="G48" s="8">
        <v>3.5000000000000003E-2</v>
      </c>
      <c r="H48" s="8">
        <v>0.5</v>
      </c>
      <c r="I48" s="7">
        <f>D48+(E48*F48)</f>
        <v>6400000</v>
      </c>
      <c r="J48" s="8">
        <f t="shared" si="4"/>
        <v>0.5</v>
      </c>
      <c r="K48" s="7">
        <f>G48*J48*I48</f>
        <v>112000.00000000001</v>
      </c>
      <c r="L48" s="8">
        <f t="shared" si="6"/>
        <v>1.7500000000000002E-2</v>
      </c>
    </row>
    <row r="49" spans="1:12" x14ac:dyDescent="0.3">
      <c r="A49" s="1" t="s">
        <v>6</v>
      </c>
      <c r="B49" s="2" t="s">
        <v>7</v>
      </c>
      <c r="C49" s="2"/>
      <c r="D49" s="3">
        <v>850000</v>
      </c>
      <c r="E49" s="3">
        <v>200000</v>
      </c>
      <c r="F49" s="4">
        <v>0.5</v>
      </c>
      <c r="G49" s="4">
        <v>8.2000000000000003E-2</v>
      </c>
      <c r="H49" s="4">
        <v>0.35</v>
      </c>
      <c r="I49" s="3">
        <f>D49+(E49*F49)</f>
        <v>950000</v>
      </c>
      <c r="J49" s="4">
        <f t="shared" si="4"/>
        <v>0.65</v>
      </c>
      <c r="K49" s="3">
        <f>G49*J49*I49</f>
        <v>50635.000000000007</v>
      </c>
      <c r="L49" s="4">
        <f t="shared" si="6"/>
        <v>5.3300000000000007E-2</v>
      </c>
    </row>
    <row r="50" spans="1:12" x14ac:dyDescent="0.3">
      <c r="A50" s="5" t="s">
        <v>9</v>
      </c>
      <c r="B50" s="6" t="s">
        <v>10</v>
      </c>
      <c r="C50" s="6" t="s">
        <v>11</v>
      </c>
      <c r="D50" s="7">
        <v>3200000</v>
      </c>
      <c r="E50" s="7">
        <v>1000000</v>
      </c>
      <c r="F50" s="8">
        <v>0.75</v>
      </c>
      <c r="G50" s="8">
        <v>1.4999999999999999E-2</v>
      </c>
      <c r="H50" s="8">
        <v>0.7</v>
      </c>
      <c r="I50" s="7">
        <f>D50+(E50*F50)</f>
        <v>3950000</v>
      </c>
      <c r="J50" s="8">
        <f t="shared" si="4"/>
        <v>0.30000000000000004</v>
      </c>
      <c r="K50" s="7">
        <f>G50*J50*I50</f>
        <v>17775.000000000004</v>
      </c>
      <c r="L50" s="8">
        <f t="shared" si="6"/>
        <v>4.5000000000000005E-3</v>
      </c>
    </row>
    <row r="51" spans="1:12" x14ac:dyDescent="0.3">
      <c r="A51" s="1" t="s">
        <v>12</v>
      </c>
      <c r="B51" s="2" t="s">
        <v>13</v>
      </c>
      <c r="C51" s="2" t="s">
        <v>14</v>
      </c>
      <c r="D51" s="3">
        <v>600000</v>
      </c>
      <c r="E51" s="3">
        <v>300000</v>
      </c>
      <c r="F51" s="4">
        <v>0.3</v>
      </c>
      <c r="G51" s="4">
        <v>6.5000000000000002E-2</v>
      </c>
      <c r="H51" s="4">
        <v>0.25</v>
      </c>
      <c r="I51" s="3"/>
      <c r="J51" s="4">
        <f t="shared" si="4"/>
        <v>0.75</v>
      </c>
      <c r="K51" s="3">
        <f>G51*J51*I51</f>
        <v>0</v>
      </c>
      <c r="L51" s="4" t="e">
        <f t="shared" si="6"/>
        <v>#DIV/0!</v>
      </c>
    </row>
    <row r="52" spans="1:12" ht="15" thickBot="1" x14ac:dyDescent="0.35">
      <c r="A52" s="9" t="s">
        <v>56</v>
      </c>
      <c r="B52" s="10"/>
      <c r="C52" s="10"/>
      <c r="D52" s="11">
        <f>SUM(D9:D28)</f>
        <v>32410000</v>
      </c>
      <c r="E52" s="11">
        <f>SUM(E9:E28)</f>
        <v>8600000</v>
      </c>
      <c r="F52" s="12">
        <f>AVERAGE(F9:F28)</f>
        <v>0.41315789473684211</v>
      </c>
      <c r="G52" s="12">
        <f>AVERAGE(G9:G28)</f>
        <v>5.0368421052631583E-2</v>
      </c>
      <c r="H52" s="12">
        <f>AVERAGE(H9:H28)</f>
        <v>0.48999999999999994</v>
      </c>
      <c r="I52" s="11" t="e">
        <f>SUM(I9:I28)</f>
        <v>#VALUE!</v>
      </c>
      <c r="J52" s="12">
        <f>AVERAGE(J9:J28)</f>
        <v>0.48888888888888893</v>
      </c>
      <c r="K52" s="11" t="e">
        <f>SUM(K9:K28)</f>
        <v>#VALUE!</v>
      </c>
      <c r="L52" s="12" t="e">
        <f>K52/I52</f>
        <v>#VALUE!</v>
      </c>
    </row>
    <row r="53" spans="1:12" ht="15" thickTop="1" x14ac:dyDescent="0.3"/>
  </sheetData>
  <conditionalFormatting sqref="K9:K51">
    <cfRule type="cellIs" dxfId="0" priority="1" stopIfTrue="1" operator="greaterThan">
      <formula>50000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Elizabeth Licea Silva</dc:creator>
  <cp:lastModifiedBy>Nancy Elizabeth Licea Silva</cp:lastModifiedBy>
  <dcterms:created xsi:type="dcterms:W3CDTF">2026-08-27T16:54:39Z</dcterms:created>
  <dcterms:modified xsi:type="dcterms:W3CDTF">2026-08-27T17:12:45Z</dcterms:modified>
</cp:coreProperties>
</file>